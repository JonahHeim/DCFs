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hheim/Downloads/"/>
    </mc:Choice>
  </mc:AlternateContent>
  <xr:revisionPtr revIDLastSave="0" documentId="13_ncr:1_{77A5B1D0-1164-F742-AD23-E2286C69625A}" xr6:coauthVersionLast="47" xr6:coauthVersionMax="47" xr10:uidLastSave="{00000000-0000-0000-0000-000000000000}"/>
  <bookViews>
    <workbookView xWindow="0" yWindow="760" windowWidth="29400" windowHeight="17220" activeTab="1" xr2:uid="{A469845D-959C-4A7C-80E1-18863DB1EFCC}"/>
  </bookViews>
  <sheets>
    <sheet name="Cover" sheetId="4" r:id="rId1"/>
    <sheet name="DCF" sheetId="2" r:id="rId2"/>
    <sheet name="WACC" sheetId="9" r:id="rId3"/>
    <sheet name="Shares" sheetId="3" r:id="rId4"/>
    <sheet name="Segments" sheetId="6" r:id="rId5"/>
    <sheet name="IS" sheetId="8" r:id="rId6"/>
    <sheet name="CFS" sheetId="7" r:id="rId7"/>
    <sheet name="CapEx" sheetId="5" r:id="rId8"/>
  </sheets>
  <externalReferences>
    <externalReference r:id="rId9"/>
    <externalReference r:id="rId10"/>
  </externalReferences>
  <definedNames>
    <definedName name="CASE" localSheetId="0">[1]LBO!$E$7</definedName>
    <definedName name="CASE">DCF!#REF!</definedName>
    <definedName name="CIRC" localSheetId="0">[1]LBO!$E$6</definedName>
    <definedName name="CIRC">DCF!#REF!</definedName>
    <definedName name="PIK">[1]LBO!$E$8</definedName>
    <definedName name="tgr">[2]DCF!$E$19</definedName>
    <definedName name="wacc">[2]DCF!$E$18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2" l="1"/>
  <c r="K18" i="2"/>
  <c r="L18" i="2"/>
  <c r="M18" i="2"/>
  <c r="L17" i="2"/>
  <c r="F22" i="9"/>
  <c r="F20" i="9"/>
  <c r="F17" i="9"/>
  <c r="F16" i="9"/>
  <c r="F9" i="9"/>
  <c r="L56" i="2"/>
  <c r="E19" i="3"/>
  <c r="Q101" i="2"/>
  <c r="D69" i="2"/>
  <c r="E69" i="2" s="1"/>
  <c r="F69" i="2" s="1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L63" i="2"/>
  <c r="L88" i="2" s="1"/>
  <c r="K63" i="2"/>
  <c r="J63" i="2"/>
  <c r="I63" i="2"/>
  <c r="H63" i="2"/>
  <c r="G63" i="2"/>
  <c r="F63" i="2"/>
  <c r="E63" i="2"/>
  <c r="D63" i="2"/>
  <c r="C63" i="2"/>
  <c r="L60" i="2"/>
  <c r="L85" i="2" s="1"/>
  <c r="K60" i="2"/>
  <c r="J60" i="2"/>
  <c r="I60" i="2"/>
  <c r="H60" i="2"/>
  <c r="G60" i="2"/>
  <c r="F60" i="2"/>
  <c r="E60" i="2"/>
  <c r="D60" i="2"/>
  <c r="C60" i="2"/>
  <c r="K56" i="2"/>
  <c r="J56" i="2"/>
  <c r="I56" i="2"/>
  <c r="H56" i="2"/>
  <c r="G56" i="2"/>
  <c r="F56" i="2"/>
  <c r="E56" i="2"/>
  <c r="D56" i="2"/>
  <c r="C56" i="2"/>
  <c r="L51" i="2"/>
  <c r="L52" i="2" s="1"/>
  <c r="F18" i="9" s="1"/>
  <c r="K51" i="2"/>
  <c r="K52" i="2" s="1"/>
  <c r="J51" i="2"/>
  <c r="J52" i="2" s="1"/>
  <c r="I51" i="2"/>
  <c r="I52" i="2" s="1"/>
  <c r="H51" i="2"/>
  <c r="H52" i="2" s="1"/>
  <c r="G51" i="2"/>
  <c r="G52" i="2" s="1"/>
  <c r="F51" i="2"/>
  <c r="F52" i="2" s="1"/>
  <c r="E51" i="2"/>
  <c r="E52" i="2" s="1"/>
  <c r="D51" i="2"/>
  <c r="D52" i="2" s="1"/>
  <c r="C51" i="2"/>
  <c r="C52" i="2" s="1"/>
  <c r="D54" i="2"/>
  <c r="E54" i="2" s="1"/>
  <c r="F54" i="2" s="1"/>
  <c r="G54" i="2" s="1"/>
  <c r="H54" i="2" s="1"/>
  <c r="I54" i="2" s="1"/>
  <c r="J54" i="2" s="1"/>
  <c r="K54" i="2" s="1"/>
  <c r="L54" i="2" s="1"/>
  <c r="M54" i="2" s="1"/>
  <c r="N54" i="2" s="1"/>
  <c r="O54" i="2" s="1"/>
  <c r="P54" i="2" s="1"/>
  <c r="Q54" i="2" s="1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N38" i="2"/>
  <c r="M38" i="2"/>
  <c r="L38" i="2"/>
  <c r="K38" i="2"/>
  <c r="J38" i="2"/>
  <c r="I38" i="2"/>
  <c r="H38" i="2"/>
  <c r="G38" i="2"/>
  <c r="F38" i="2"/>
  <c r="E38" i="2"/>
  <c r="D38" i="2"/>
  <c r="N34" i="2"/>
  <c r="M34" i="2"/>
  <c r="L34" i="2"/>
  <c r="K34" i="2"/>
  <c r="J34" i="2"/>
  <c r="I34" i="2"/>
  <c r="H34" i="2"/>
  <c r="G34" i="2"/>
  <c r="F34" i="2"/>
  <c r="E34" i="2"/>
  <c r="D34" i="2"/>
  <c r="C38" i="2"/>
  <c r="C42" i="2"/>
  <c r="C34" i="2"/>
  <c r="Q25" i="2"/>
  <c r="Q21" i="2"/>
  <c r="Q17" i="2"/>
  <c r="P25" i="2"/>
  <c r="O25" i="2"/>
  <c r="N25" i="2"/>
  <c r="P21" i="2"/>
  <c r="O21" i="2"/>
  <c r="N21" i="2"/>
  <c r="P17" i="2"/>
  <c r="O17" i="2"/>
  <c r="N17" i="2"/>
  <c r="M25" i="2"/>
  <c r="L25" i="2"/>
  <c r="K25" i="2"/>
  <c r="J25" i="2"/>
  <c r="I25" i="2"/>
  <c r="H25" i="2"/>
  <c r="G25" i="2"/>
  <c r="F25" i="2"/>
  <c r="E25" i="2"/>
  <c r="D25" i="2"/>
  <c r="C25" i="2"/>
  <c r="C26" i="2" s="1"/>
  <c r="M21" i="2"/>
  <c r="L21" i="2"/>
  <c r="K21" i="2"/>
  <c r="J21" i="2"/>
  <c r="I21" i="2"/>
  <c r="H21" i="2"/>
  <c r="G21" i="2"/>
  <c r="F21" i="2"/>
  <c r="E21" i="2"/>
  <c r="D21" i="2"/>
  <c r="C21" i="2"/>
  <c r="C22" i="2" s="1"/>
  <c r="M17" i="2"/>
  <c r="K17" i="2"/>
  <c r="J17" i="2"/>
  <c r="I17" i="2"/>
  <c r="H17" i="2"/>
  <c r="G17" i="2"/>
  <c r="F17" i="2"/>
  <c r="E17" i="2"/>
  <c r="D17" i="2"/>
  <c r="C17" i="2"/>
  <c r="C18" i="2" s="1"/>
  <c r="D15" i="2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F10" i="9"/>
  <c r="L95" i="2" l="1"/>
  <c r="L92" i="2" s="1"/>
  <c r="M95" i="2"/>
  <c r="N95" i="2" s="1"/>
  <c r="O95" i="2" s="1"/>
  <c r="P95" i="2" s="1"/>
  <c r="Q95" i="2" s="1"/>
  <c r="H58" i="2"/>
  <c r="G58" i="2"/>
  <c r="F58" i="2"/>
  <c r="I58" i="2"/>
  <c r="M52" i="2"/>
  <c r="M78" i="2" s="1"/>
  <c r="J58" i="2"/>
  <c r="C58" i="2"/>
  <c r="D58" i="2"/>
  <c r="L58" i="2"/>
  <c r="L78" i="2"/>
  <c r="L82" i="2"/>
  <c r="K58" i="2"/>
  <c r="E58" i="2"/>
  <c r="N22" i="2"/>
  <c r="M39" i="2"/>
  <c r="E35" i="2"/>
  <c r="J22" i="2"/>
  <c r="G26" i="2"/>
  <c r="I18" i="2"/>
  <c r="F22" i="2"/>
  <c r="D35" i="2"/>
  <c r="M35" i="2"/>
  <c r="H26" i="2"/>
  <c r="P18" i="2"/>
  <c r="D22" i="2"/>
  <c r="L22" i="2"/>
  <c r="I26" i="2"/>
  <c r="Q26" i="2"/>
  <c r="I39" i="2"/>
  <c r="F43" i="2"/>
  <c r="N43" i="2"/>
  <c r="F18" i="2"/>
  <c r="K22" i="2"/>
  <c r="E43" i="2"/>
  <c r="H18" i="2"/>
  <c r="E22" i="2"/>
  <c r="M22" i="2"/>
  <c r="J26" i="2"/>
  <c r="O22" i="2"/>
  <c r="E18" i="2"/>
  <c r="J39" i="2"/>
  <c r="G43" i="2"/>
  <c r="O43" i="2"/>
  <c r="K39" i="2"/>
  <c r="D43" i="2"/>
  <c r="L43" i="2"/>
  <c r="O26" i="2"/>
  <c r="C46" i="2"/>
  <c r="D39" i="2"/>
  <c r="L39" i="2"/>
  <c r="I43" i="2"/>
  <c r="Q22" i="2"/>
  <c r="F35" i="2"/>
  <c r="N35" i="2"/>
  <c r="O35" i="2" s="1"/>
  <c r="O34" i="2" s="1"/>
  <c r="H35" i="2"/>
  <c r="G18" i="2"/>
  <c r="G22" i="2"/>
  <c r="C43" i="2"/>
  <c r="E39" i="2"/>
  <c r="H43" i="2"/>
  <c r="P43" i="2"/>
  <c r="K26" i="2"/>
  <c r="H22" i="2"/>
  <c r="E26" i="2"/>
  <c r="M43" i="2"/>
  <c r="C39" i="2"/>
  <c r="F39" i="2"/>
  <c r="Q43" i="2"/>
  <c r="D18" i="2"/>
  <c r="I22" i="2"/>
  <c r="F26" i="2"/>
  <c r="N18" i="2"/>
  <c r="P26" i="2"/>
  <c r="P22" i="2"/>
  <c r="I35" i="2"/>
  <c r="O18" i="2"/>
  <c r="K43" i="2"/>
  <c r="L26" i="2"/>
  <c r="M26" i="2"/>
  <c r="C35" i="2"/>
  <c r="Q18" i="2"/>
  <c r="D26" i="2"/>
  <c r="N26" i="2"/>
  <c r="J43" i="2"/>
  <c r="J35" i="2"/>
  <c r="G35" i="2"/>
  <c r="K35" i="2"/>
  <c r="G39" i="2"/>
  <c r="D46" i="2"/>
  <c r="L46" i="2"/>
  <c r="L74" i="2" s="1"/>
  <c r="H46" i="2"/>
  <c r="N46" i="2"/>
  <c r="N74" i="2" s="1"/>
  <c r="Q29" i="2"/>
  <c r="Q71" i="2" s="1"/>
  <c r="E46" i="2"/>
  <c r="M46" i="2"/>
  <c r="M74" i="2" s="1"/>
  <c r="L35" i="2"/>
  <c r="I46" i="2"/>
  <c r="H39" i="2"/>
  <c r="N39" i="2"/>
  <c r="O39" i="2" s="1"/>
  <c r="P39" i="2" s="1"/>
  <c r="Q39" i="2" s="1"/>
  <c r="Q38" i="2" s="1"/>
  <c r="F46" i="2"/>
  <c r="G46" i="2"/>
  <c r="J46" i="2"/>
  <c r="K46" i="2"/>
  <c r="J29" i="2"/>
  <c r="J64" i="2" s="1"/>
  <c r="K29" i="2"/>
  <c r="K64" i="2" s="1"/>
  <c r="C29" i="2"/>
  <c r="C64" i="2" s="1"/>
  <c r="H29" i="2"/>
  <c r="H57" i="2" s="1"/>
  <c r="E29" i="2"/>
  <c r="E57" i="2" s="1"/>
  <c r="M29" i="2"/>
  <c r="M71" i="2" s="1"/>
  <c r="O29" i="2"/>
  <c r="O71" i="2" s="1"/>
  <c r="G29" i="2"/>
  <c r="G64" i="2" s="1"/>
  <c r="D29" i="2"/>
  <c r="L29" i="2"/>
  <c r="N29" i="2"/>
  <c r="N71" i="2" s="1"/>
  <c r="I29" i="2"/>
  <c r="I57" i="2" s="1"/>
  <c r="F29" i="2"/>
  <c r="P29" i="2"/>
  <c r="P71" i="2" s="1"/>
  <c r="L10" i="2"/>
  <c r="P35" i="2" l="1"/>
  <c r="F65" i="2"/>
  <c r="F64" i="2"/>
  <c r="N52" i="2"/>
  <c r="N78" i="2" s="1"/>
  <c r="N77" i="2" s="1"/>
  <c r="N80" i="2" s="1"/>
  <c r="C61" i="2"/>
  <c r="J65" i="2"/>
  <c r="H64" i="2"/>
  <c r="H61" i="2"/>
  <c r="I61" i="2"/>
  <c r="L61" i="2"/>
  <c r="L86" i="2" s="1"/>
  <c r="L71" i="2"/>
  <c r="L64" i="2"/>
  <c r="L77" i="2"/>
  <c r="L80" i="2" s="1"/>
  <c r="L91" i="2" s="1"/>
  <c r="I65" i="2"/>
  <c r="K57" i="2"/>
  <c r="D61" i="2"/>
  <c r="D64" i="2"/>
  <c r="H65" i="2"/>
  <c r="L65" i="2"/>
  <c r="C57" i="2"/>
  <c r="G57" i="2"/>
  <c r="G65" i="2"/>
  <c r="G61" i="2"/>
  <c r="M77" i="2"/>
  <c r="M80" i="2" s="1"/>
  <c r="J61" i="2"/>
  <c r="J57" i="2"/>
  <c r="I64" i="2"/>
  <c r="L57" i="2"/>
  <c r="L83" i="2" s="1"/>
  <c r="D65" i="2"/>
  <c r="F57" i="2"/>
  <c r="F61" i="2"/>
  <c r="E65" i="2"/>
  <c r="E64" i="2"/>
  <c r="E61" i="2"/>
  <c r="K61" i="2"/>
  <c r="D57" i="2"/>
  <c r="K65" i="2"/>
  <c r="N19" i="2"/>
  <c r="N27" i="2"/>
  <c r="N23" i="2"/>
  <c r="L36" i="2"/>
  <c r="L40" i="2"/>
  <c r="L44" i="2"/>
  <c r="C30" i="2"/>
  <c r="C23" i="2"/>
  <c r="C19" i="2"/>
  <c r="C27" i="2"/>
  <c r="L30" i="2"/>
  <c r="L72" i="2" s="1"/>
  <c r="L23" i="2"/>
  <c r="L19" i="2"/>
  <c r="L27" i="2"/>
  <c r="J27" i="2"/>
  <c r="J19" i="2"/>
  <c r="J23" i="2"/>
  <c r="D44" i="2"/>
  <c r="D40" i="2"/>
  <c r="D36" i="2"/>
  <c r="K44" i="2"/>
  <c r="K40" i="2"/>
  <c r="K36" i="2"/>
  <c r="O27" i="2"/>
  <c r="O23" i="2"/>
  <c r="O19" i="2"/>
  <c r="J36" i="2"/>
  <c r="J40" i="2"/>
  <c r="J44" i="2"/>
  <c r="M44" i="2"/>
  <c r="M36" i="2"/>
  <c r="M40" i="2"/>
  <c r="K19" i="2"/>
  <c r="K27" i="2"/>
  <c r="K23" i="2"/>
  <c r="D23" i="2"/>
  <c r="D27" i="2"/>
  <c r="D19" i="2"/>
  <c r="I44" i="2"/>
  <c r="I40" i="2"/>
  <c r="I36" i="2"/>
  <c r="G27" i="2"/>
  <c r="G23" i="2"/>
  <c r="G19" i="2"/>
  <c r="P19" i="2"/>
  <c r="P23" i="2"/>
  <c r="P27" i="2"/>
  <c r="M27" i="2"/>
  <c r="M19" i="2"/>
  <c r="M23" i="2"/>
  <c r="G36" i="2"/>
  <c r="G40" i="2"/>
  <c r="G44" i="2"/>
  <c r="E40" i="2"/>
  <c r="E44" i="2"/>
  <c r="E36" i="2"/>
  <c r="H40" i="2"/>
  <c r="H44" i="2"/>
  <c r="H36" i="2"/>
  <c r="F30" i="2"/>
  <c r="F19" i="2"/>
  <c r="F27" i="2"/>
  <c r="F23" i="2"/>
  <c r="E19" i="2"/>
  <c r="E27" i="2"/>
  <c r="E23" i="2"/>
  <c r="F36" i="2"/>
  <c r="F44" i="2"/>
  <c r="F40" i="2"/>
  <c r="Q19" i="2"/>
  <c r="Q27" i="2"/>
  <c r="Q23" i="2"/>
  <c r="C36" i="2"/>
  <c r="C44" i="2"/>
  <c r="C40" i="2"/>
  <c r="I30" i="2"/>
  <c r="I27" i="2"/>
  <c r="I23" i="2"/>
  <c r="I19" i="2"/>
  <c r="H23" i="2"/>
  <c r="H27" i="2"/>
  <c r="H19" i="2"/>
  <c r="N44" i="2"/>
  <c r="N36" i="2"/>
  <c r="N40" i="2"/>
  <c r="M30" i="2"/>
  <c r="M72" i="2" s="1"/>
  <c r="D47" i="2"/>
  <c r="E47" i="2"/>
  <c r="L47" i="2"/>
  <c r="L75" i="2" s="1"/>
  <c r="M47" i="2"/>
  <c r="M75" i="2" s="1"/>
  <c r="H47" i="2"/>
  <c r="J47" i="2"/>
  <c r="N47" i="2"/>
  <c r="N75" i="2" s="1"/>
  <c r="G47" i="2"/>
  <c r="P38" i="2"/>
  <c r="C47" i="2"/>
  <c r="F47" i="2"/>
  <c r="O38" i="2"/>
  <c r="Q35" i="2"/>
  <c r="Q34" i="2" s="1"/>
  <c r="P34" i="2"/>
  <c r="K47" i="2"/>
  <c r="I47" i="2"/>
  <c r="O30" i="2"/>
  <c r="O72" i="2" s="1"/>
  <c r="E30" i="2"/>
  <c r="K30" i="2"/>
  <c r="H30" i="2"/>
  <c r="P30" i="2"/>
  <c r="P72" i="2" s="1"/>
  <c r="N30" i="2"/>
  <c r="N72" i="2" s="1"/>
  <c r="D30" i="2"/>
  <c r="J30" i="2"/>
  <c r="G30" i="2"/>
  <c r="Q30" i="2"/>
  <c r="Q72" i="2" s="1"/>
  <c r="O52" i="2" l="1"/>
  <c r="O78" i="2" s="1"/>
  <c r="M57" i="2"/>
  <c r="L89" i="2"/>
  <c r="M61" i="2"/>
  <c r="N61" i="2" s="1"/>
  <c r="O61" i="2" s="1"/>
  <c r="M64" i="2"/>
  <c r="N64" i="2" s="1"/>
  <c r="O46" i="2"/>
  <c r="O74" i="2" s="1"/>
  <c r="Q46" i="2"/>
  <c r="Q74" i="2" s="1"/>
  <c r="P46" i="2"/>
  <c r="P74" i="2" s="1"/>
  <c r="Q36" i="2" l="1"/>
  <c r="P52" i="2"/>
  <c r="P78" i="2" s="1"/>
  <c r="P77" i="2" s="1"/>
  <c r="P80" i="2" s="1"/>
  <c r="O40" i="2"/>
  <c r="O86" i="2"/>
  <c r="O60" i="2"/>
  <c r="O85" i="2" s="1"/>
  <c r="O64" i="2"/>
  <c r="N63" i="2"/>
  <c r="N88" i="2" s="1"/>
  <c r="N89" i="2"/>
  <c r="M63" i="2"/>
  <c r="M88" i="2" s="1"/>
  <c r="M89" i="2"/>
  <c r="M83" i="2"/>
  <c r="M56" i="2"/>
  <c r="M82" i="2" s="1"/>
  <c r="O77" i="2"/>
  <c r="O80" i="2"/>
  <c r="M86" i="2"/>
  <c r="M60" i="2"/>
  <c r="M85" i="2" s="1"/>
  <c r="P61" i="2"/>
  <c r="Q61" i="2" s="1"/>
  <c r="N60" i="2"/>
  <c r="N85" i="2" s="1"/>
  <c r="N86" i="2"/>
  <c r="Q52" i="2"/>
  <c r="Q78" i="2" s="1"/>
  <c r="Q77" i="2" s="1"/>
  <c r="Q80" i="2" s="1"/>
  <c r="N57" i="2"/>
  <c r="N56" i="2" s="1"/>
  <c r="P47" i="2"/>
  <c r="P75" i="2" s="1"/>
  <c r="P44" i="2"/>
  <c r="P40" i="2"/>
  <c r="P36" i="2"/>
  <c r="Q47" i="2"/>
  <c r="Q75" i="2" s="1"/>
  <c r="Q44" i="2"/>
  <c r="Q40" i="2"/>
  <c r="O47" i="2"/>
  <c r="O75" i="2" s="1"/>
  <c r="O44" i="2"/>
  <c r="O36" i="2"/>
  <c r="M91" i="2" l="1"/>
  <c r="M92" i="2" s="1"/>
  <c r="Q60" i="2"/>
  <c r="Q85" i="2" s="1"/>
  <c r="Q86" i="2"/>
  <c r="O89" i="2"/>
  <c r="O63" i="2"/>
  <c r="O88" i="2" s="1"/>
  <c r="P64" i="2"/>
  <c r="N83" i="2"/>
  <c r="N82" i="2"/>
  <c r="N91" i="2" s="1"/>
  <c r="N92" i="2" s="1"/>
  <c r="O57" i="2"/>
  <c r="P60" i="2"/>
  <c r="P85" i="2" s="1"/>
  <c r="P86" i="2"/>
  <c r="P63" i="2" l="1"/>
  <c r="P88" i="2" s="1"/>
  <c r="P89" i="2"/>
  <c r="Q64" i="2"/>
  <c r="O83" i="2"/>
  <c r="O56" i="2"/>
  <c r="O82" i="2" s="1"/>
  <c r="O91" i="2" s="1"/>
  <c r="O92" i="2" s="1"/>
  <c r="P57" i="2"/>
  <c r="P56" i="2" l="1"/>
  <c r="P82" i="2" s="1"/>
  <c r="P91" i="2" s="1"/>
  <c r="P92" i="2" s="1"/>
  <c r="P83" i="2"/>
  <c r="Q57" i="2"/>
  <c r="Q63" i="2"/>
  <c r="Q88" i="2" s="1"/>
  <c r="Q89" i="2"/>
  <c r="Q56" i="2" l="1"/>
  <c r="Q82" i="2" s="1"/>
  <c r="Q91" i="2" s="1"/>
  <c r="Q83" i="2"/>
  <c r="Q97" i="2" l="1"/>
  <c r="Q98" i="2" s="1"/>
  <c r="Q92" i="2"/>
  <c r="E27" i="3"/>
  <c r="B20" i="3"/>
  <c r="B21" i="3" s="1"/>
  <c r="B22" i="3" s="1"/>
  <c r="B23" i="3" s="1"/>
  <c r="B24" i="3" s="1"/>
  <c r="B25" i="3" s="1"/>
  <c r="B26" i="3" s="1"/>
  <c r="B27" i="3" s="1"/>
  <c r="B28" i="3" s="1"/>
  <c r="Q100" i="2" l="1"/>
  <c r="Q103" i="2" s="1"/>
  <c r="E22" i="3"/>
  <c r="E21" i="3"/>
  <c r="E24" i="3"/>
  <c r="E25" i="3"/>
  <c r="E20" i="3"/>
  <c r="E23" i="3"/>
  <c r="E26" i="3"/>
  <c r="E28" i="3"/>
  <c r="E30" i="3" l="1"/>
  <c r="E8" i="3" s="1"/>
  <c r="E9" i="3"/>
  <c r="E10" i="3" s="1"/>
  <c r="E11" i="3" l="1"/>
  <c r="E14" i="3" s="1"/>
  <c r="Q105" i="2" s="1"/>
  <c r="Q10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Q101" authorId="0" shapeId="0" xr:uid="{8E1A8D2E-E525-44F0-90DC-0C9CD10EF94E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  <comment ref="Q102" authorId="0" shapeId="0" xr:uid="{3360ABA9-4EED-49E4-A795-8ECC24AD51F6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F8" authorId="0" shapeId="0" xr:uid="{DEF58AE0-0B80-463D-9A04-8B8C9F12F2A8}">
      <text>
        <r>
          <rPr>
            <b/>
            <sz val="9"/>
            <color rgb="FF000000"/>
            <rFont val="Tahoma"/>
            <family val="2"/>
          </rPr>
          <t>Ben Chon: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 of 8/30/24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E7" authorId="0" shapeId="0" xr:uid="{B47B9BD5-B6CF-4BF4-BB51-8FCA31E4772A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  <comment ref="E12" authorId="0" shapeId="0" xr:uid="{ECEB60FE-10F0-476D-9277-17D9C7DD3C02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 pg 16</t>
        </r>
      </text>
    </comment>
  </commentList>
</comments>
</file>

<file path=xl/sharedStrings.xml><?xml version="1.0" encoding="utf-8"?>
<sst xmlns="http://schemas.openxmlformats.org/spreadsheetml/2006/main" count="469" uniqueCount="266">
  <si>
    <t>Cover</t>
  </si>
  <si>
    <t>x</t>
  </si>
  <si>
    <t>Notes</t>
  </si>
  <si>
    <t>This model will be available FOR FREE to download after this steam ends (see description)</t>
  </si>
  <si>
    <t>Sign up for my NEW discord channel</t>
  </si>
  <si>
    <t>Sign up for my investment banking course</t>
  </si>
  <si>
    <t>https://forms.gle/wt4cZrezbxVgNzGUA</t>
  </si>
  <si>
    <t>Private Equity Video Playlist</t>
  </si>
  <si>
    <t>https://www.youtube.com/playlist?list=PL71QplJWp1Rrm0dkWjjIY2cf4jTYSU0t2</t>
  </si>
  <si>
    <t>Paper LBO Tutorial</t>
  </si>
  <si>
    <t>https://youtu.be/iS0isM0f2z8</t>
  </si>
  <si>
    <t>Simple LBO Tutorial</t>
  </si>
  <si>
    <t>https://youtu.be/zeCfu5g0Uis</t>
  </si>
  <si>
    <t>https://youtu.be/nyot7FkYoqM</t>
  </si>
  <si>
    <t>Excel Shortcuts for Finance and Modeling</t>
  </si>
  <si>
    <t>https://youtu.be/oDjhg57XH-A</t>
  </si>
  <si>
    <t>rareliquid (AKA the guy who created this model)</t>
  </si>
  <si>
    <t>YouTube</t>
  </si>
  <si>
    <t>https://www.youtube.com/@rareliquid</t>
  </si>
  <si>
    <t>Instagram</t>
  </si>
  <si>
    <t>https://www.instagram.com/rareliquid</t>
  </si>
  <si>
    <t>TikTok</t>
  </si>
  <si>
    <t>https://www.tiktok.com/@rareliquid</t>
  </si>
  <si>
    <t>Twitter</t>
  </si>
  <si>
    <t>https://www.twitter.com/rareliquid</t>
  </si>
  <si>
    <t>LinkedIn</t>
  </si>
  <si>
    <t>https://www.linkedin.com/in/benchon</t>
  </si>
  <si>
    <t>Assumptions</t>
  </si>
  <si>
    <t>Ticker</t>
  </si>
  <si>
    <t>Debt</t>
  </si>
  <si>
    <t>Enterprise Value</t>
  </si>
  <si>
    <t>Total</t>
  </si>
  <si>
    <t>Diluted Share Count Calculation</t>
  </si>
  <si>
    <t>Full Diluted Shares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</si>
  <si>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</si>
  <si>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</si>
  <si>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</si>
  <si>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</si>
  <si>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</si>
  <si>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 xml:space="preserve">Dilutive impact of shares from other securities </t>
  </si>
  <si>
    <t>Net diluted shares outstanding</t>
  </si>
  <si>
    <t>Options outstanding</t>
  </si>
  <si>
    <t>Outstanding</t>
  </si>
  <si>
    <t>Exercise price</t>
  </si>
  <si>
    <t>Dilutive Shares</t>
  </si>
  <si>
    <t>Revenue</t>
  </si>
  <si>
    <t>% growth</t>
  </si>
  <si>
    <t>% of sales</t>
  </si>
  <si>
    <t>EBIT</t>
  </si>
  <si>
    <t>Interest Expense</t>
  </si>
  <si>
    <t>Taxes</t>
  </si>
  <si>
    <t>% tax rate</t>
  </si>
  <si>
    <t>Net Income</t>
  </si>
  <si>
    <t>--</t>
  </si>
  <si>
    <t>D&amp;A</t>
  </si>
  <si>
    <t>EBITDA</t>
  </si>
  <si>
    <t>CapEx</t>
  </si>
  <si>
    <t>- Sensitivity Tables</t>
  </si>
  <si>
    <t>% of CapEx</t>
  </si>
  <si>
    <t>Capital Expenditures</t>
  </si>
  <si>
    <t>Depreciation</t>
  </si>
  <si>
    <t>Net Change in Cash</t>
  </si>
  <si>
    <t>https://discord.gg/AHnxBUGTwt</t>
  </si>
  <si>
    <t>Simple DCF Tutorial</t>
  </si>
  <si>
    <t>- DCF Concepts</t>
  </si>
  <si>
    <t>- Projecting FCF</t>
  </si>
  <si>
    <t>- Terminal Value</t>
  </si>
  <si>
    <t>- Discounting to Present Value</t>
  </si>
  <si>
    <t>- Revenue Build</t>
  </si>
  <si>
    <t>- Sum-of-the-parts DCF</t>
  </si>
  <si>
    <t>- Terminal Value - Perpetuity and Exit Multiple</t>
  </si>
  <si>
    <t>- Diluted Shares</t>
  </si>
  <si>
    <t>- Mid-Year Convention</t>
  </si>
  <si>
    <t>- WACC</t>
  </si>
  <si>
    <t>- Levering / Unlevering Beta</t>
  </si>
  <si>
    <t>Amazon Advanced DCF - Part 1</t>
  </si>
  <si>
    <t>Amazon Advanced DCF - Part 2</t>
  </si>
  <si>
    <t>- Project FCF</t>
  </si>
  <si>
    <t>- Multiple Scenarios</t>
  </si>
  <si>
    <t>Modeling Tutorials Playlist</t>
  </si>
  <si>
    <t>https://www.youtube.com/playlist?list=PL71QplJWp1RoaKEMTo_9CZA-kyjwT5rGo</t>
  </si>
  <si>
    <t>TBU</t>
  </si>
  <si>
    <t>Cash Flow from Financing</t>
  </si>
  <si>
    <t>Cash Flow from Investing</t>
  </si>
  <si>
    <t>Cash Flow from Operations</t>
  </si>
  <si>
    <t>-</t>
  </si>
  <si>
    <t>Unlevered Free Cash Flow</t>
  </si>
  <si>
    <t>Free Cash Flow</t>
  </si>
  <si>
    <t>Dec '29E</t>
  </si>
  <si>
    <t>Dec '28E</t>
  </si>
  <si>
    <t>Dec '27E</t>
  </si>
  <si>
    <t>Dec '26E</t>
  </si>
  <si>
    <t>Dec '25E</t>
  </si>
  <si>
    <t>Dec '24E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</si>
  <si>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</si>
  <si>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</si>
  <si>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</si>
  <si>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</si>
  <si>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</si>
  <si>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</si>
  <si>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</si>
  <si>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</si>
  <si>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</si>
  <si>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</si>
  <si>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CY '29E</t>
  </si>
  <si>
    <t>CY '28E</t>
  </si>
  <si>
    <t>CY '27E</t>
  </si>
  <si>
    <t>CY '26E</t>
  </si>
  <si>
    <t>CY '25E</t>
  </si>
  <si>
    <t>CY '24E</t>
  </si>
  <si>
    <t>CY '23</t>
  </si>
  <si>
    <t>CY '22</t>
  </si>
  <si>
    <t>CY '21</t>
  </si>
  <si>
    <t>CY '20</t>
  </si>
  <si>
    <t>CY '19</t>
  </si>
  <si>
    <t>CY '18</t>
  </si>
  <si>
    <t>CY '17</t>
  </si>
  <si>
    <t>CY '16</t>
  </si>
  <si>
    <t>CY '15</t>
  </si>
  <si>
    <t>CY '14</t>
  </si>
  <si>
    <t>Cash Flow (M)</t>
  </si>
  <si>
    <t>AMZN-US</t>
  </si>
  <si>
    <t>AWS-Geo</t>
  </si>
  <si>
    <t>International</t>
  </si>
  <si>
    <t>North America</t>
  </si>
  <si>
    <t>WFM- Geo</t>
  </si>
  <si>
    <t>- NA Media</t>
  </si>
  <si>
    <t>Operating Income</t>
  </si>
  <si>
    <t>- NA Other</t>
  </si>
  <si>
    <t>Sales</t>
  </si>
  <si>
    <t>Geographic Segments (M)</t>
  </si>
  <si>
    <t>DCF</t>
  </si>
  <si>
    <t>All figures in millions of U.S. Dollar except per share items.</t>
  </si>
  <si>
    <t>Free Cash Flow Yield (%)</t>
  </si>
  <si>
    <t>Free Cash Flow per Share</t>
  </si>
  <si>
    <t>Exchange Rate Effect</t>
  </si>
  <si>
    <t>All Activities</t>
  </si>
  <si>
    <t>Net Financing Cash Flow</t>
  </si>
  <si>
    <t>Other Sources</t>
  </si>
  <si>
    <t>Other Funds</t>
  </si>
  <si>
    <t>Reduction in Long-Term Debt</t>
  </si>
  <si>
    <t>Issuance of Long-Term Debt</t>
  </si>
  <si>
    <t>Change in Long-Term Debt</t>
  </si>
  <si>
    <t>Change in Current Debt</t>
  </si>
  <si>
    <t>Issuance/Reduction of Debt, Net</t>
  </si>
  <si>
    <t>Repurchase of Common &amp; Preferred Stk.</t>
  </si>
  <si>
    <t>Change in Capital Stock</t>
  </si>
  <si>
    <t>Financing Activities</t>
  </si>
  <si>
    <t>Net Investing Cash Flow</t>
  </si>
  <si>
    <t>Sale/Maturity of Investments</t>
  </si>
  <si>
    <t>Purchase of Investments</t>
  </si>
  <si>
    <t>Purchase/Sale of Investments</t>
  </si>
  <si>
    <t>Sale of Fixed Assets &amp; Businesses</t>
  </si>
  <si>
    <t>Net Assets from Acquisitions</t>
  </si>
  <si>
    <t>Capital Expenditures (Fixed Assets)</t>
  </si>
  <si>
    <t>Investing Activities</t>
  </si>
  <si>
    <t>Net Operating Cash Flow</t>
  </si>
  <si>
    <t>Other Assets/Liabilities</t>
  </si>
  <si>
    <t>Other Accruals</t>
  </si>
  <si>
    <t>Accounts Payable</t>
  </si>
  <si>
    <t>Inventories</t>
  </si>
  <si>
    <t>Receivables</t>
  </si>
  <si>
    <t>Changes in Working Capital</t>
  </si>
  <si>
    <t>Funds from Operations</t>
  </si>
  <si>
    <t>Deferred Taxes</t>
  </si>
  <si>
    <t>Deferred Taxes &amp; Investment Tax Credit</t>
  </si>
  <si>
    <t>Amortization of Intangible Assets</t>
  </si>
  <si>
    <t>Depreciation and Depletion</t>
  </si>
  <si>
    <t>Depreciation, Depletion &amp; Amortization</t>
  </si>
  <si>
    <t>Net Income / Starting Line</t>
  </si>
  <si>
    <t>Operating Activities</t>
  </si>
  <si>
    <t>LTM</t>
  </si>
  <si>
    <t>JUN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</si>
  <si>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</si>
  <si>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</si>
  <si>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</si>
  <si>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</si>
  <si>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</si>
  <si>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</si>
  <si>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</si>
  <si>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</si>
  <si>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</si>
  <si>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</si>
  <si>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Source: FactSet Fundamentals</t>
  </si>
  <si>
    <t xml:space="preserve">AMZN   023135106   2000019   NASDAQ    Common stock    </t>
  </si>
  <si>
    <t>Amazon.com, Inc.</t>
  </si>
  <si>
    <t>$172.12</t>
  </si>
  <si>
    <t>Amazon.com, Inc. (AMZN)</t>
  </si>
  <si>
    <t>Depreciation &amp; Amortization Expense</t>
  </si>
  <si>
    <t>Earnings Persistence</t>
  </si>
  <si>
    <t>Total Shares Outstanding</t>
  </si>
  <si>
    <t>Diluted Shares Outstanding</t>
  </si>
  <si>
    <t>EPS (diluted)</t>
  </si>
  <si>
    <t>Basic Shares Outstanding</t>
  </si>
  <si>
    <t>EPS (basic)</t>
  </si>
  <si>
    <t>EPS (recurring)</t>
  </si>
  <si>
    <t>Per Share</t>
  </si>
  <si>
    <t>Net Income available to Common</t>
  </si>
  <si>
    <t>Consolidated Net Income</t>
  </si>
  <si>
    <t>Equity in Earnings of Affiliates</t>
  </si>
  <si>
    <t>Income Taxes - Deferred Foreign</t>
  </si>
  <si>
    <t>Income Taxes - Deferred Domestic</t>
  </si>
  <si>
    <t>Income Taxes - Current Foreign</t>
  </si>
  <si>
    <t>Income Taxes - Current Domestic</t>
  </si>
  <si>
    <t>Income Taxes</t>
  </si>
  <si>
    <t>Pretax Income</t>
  </si>
  <si>
    <t>Hedges/Derivatives</t>
  </si>
  <si>
    <t>Investments</t>
  </si>
  <si>
    <t>Unrealized Valuation Gain/Loss</t>
  </si>
  <si>
    <t>Unusual Expense - Net</t>
  </si>
  <si>
    <t>Gross Interest Expense</t>
  </si>
  <si>
    <t>Other Income (Expense)</t>
  </si>
  <si>
    <t>Nonoperating Interest Income</t>
  </si>
  <si>
    <t>Nonoperating Income - Net</t>
  </si>
  <si>
    <t>EBIT (Operating Income)</t>
  </si>
  <si>
    <t>Other SG&amp;A</t>
  </si>
  <si>
    <t>Research &amp; Development</t>
  </si>
  <si>
    <t>SG&amp;A Expense</t>
  </si>
  <si>
    <t>Gross Income</t>
  </si>
  <si>
    <t>Amortization of Intangibles</t>
  </si>
  <si>
    <t>COGS excluding D&amp;A</t>
  </si>
  <si>
    <t>Cost of Goods Sold (COGS) incl. D&amp;A</t>
  </si>
  <si>
    <t>WACC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</si>
  <si>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</si>
  <si>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</si>
  <si>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</si>
  <si>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</si>
  <si>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</si>
  <si>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</si>
  <si>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</si>
  <si>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</si>
  <si>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% of Debt</t>
  </si>
  <si>
    <t>Cost of Debt</t>
  </si>
  <si>
    <t>Tax Rate</t>
  </si>
  <si>
    <t xml:space="preserve">    </t>
  </si>
  <si>
    <t>Investment Banking Playlist</t>
  </si>
  <si>
    <t>https://www.youtube.com/watch?v=hQfLWritg9s&amp;list=PL71QplJWp1RoobXOSA77YooScaVYmPojv</t>
  </si>
  <si>
    <t>AWS</t>
  </si>
  <si>
    <t>- Projections for Revenue and EBIT</t>
  </si>
  <si>
    <t>- EBIT Build</t>
  </si>
  <si>
    <t>% of total sales</t>
  </si>
  <si>
    <t>% of total EBIT</t>
  </si>
  <si>
    <t>Financials</t>
  </si>
  <si>
    <t>Cash Flow Items</t>
  </si>
  <si>
    <t>- Gather Historical Cash Flow Items</t>
  </si>
  <si>
    <t>Change in NWC</t>
  </si>
  <si>
    <t>% of change in sales</t>
  </si>
  <si>
    <t>EBIAT</t>
  </si>
  <si>
    <t>12/31 FYE</t>
  </si>
  <si>
    <t>Unlevered FCF</t>
  </si>
  <si>
    <t>Date</t>
  </si>
  <si>
    <t>End of Year</t>
  </si>
  <si>
    <t>AMZN</t>
  </si>
  <si>
    <t>TGR</t>
  </si>
  <si>
    <t>PV of UFCF</t>
  </si>
  <si>
    <t>Discount Period</t>
  </si>
  <si>
    <t>Stub</t>
  </si>
  <si>
    <t>Terminal Value</t>
  </si>
  <si>
    <t>PV of Terminal Value</t>
  </si>
  <si>
    <t>(+) Cash</t>
  </si>
  <si>
    <t>(-) Debt</t>
  </si>
  <si>
    <t>Equity Value</t>
  </si>
  <si>
    <t>FDSO</t>
  </si>
  <si>
    <t>Implied Share Price</t>
  </si>
  <si>
    <t>Current Stock Price</t>
  </si>
  <si>
    <t>https://youtube.com/live/fmoE3H8RjP4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</si>
</sst>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_);\(#,##0.0\)"/>
    <numFmt numFmtId="165" formatCode="0.0%"/>
    <numFmt numFmtId="166" formatCode="#,##0.0_);\(#,##0.0\);@_)"/>
    <numFmt numFmtId="167" formatCode="&quot;Tranche&quot;\ 0"/>
    <numFmt numFmtId="168" formatCode="0&quot;A&quot;"/>
    <numFmt numFmtId="169" formatCode="0&quot;E&quot;"/>
    <numFmt numFmtId="170" formatCode="0.00000%"/>
    <numFmt numFmtId="171" formatCode="0%_);\(0%\);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/>
  </cellStyleXfs>
  <cellXfs count="128">
    <xf numFmtId="0" fontId="0" fillId="0" borderId="0" xfId="0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/>
    <xf numFmtId="0" fontId="6" fillId="0" borderId="0" xfId="2"/>
    <xf numFmtId="0" fontId="0" fillId="0" borderId="0" xfId="0" quotePrefix="1"/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left" indent="1"/>
    </xf>
    <xf numFmtId="39" fontId="9" fillId="4" borderId="2" xfId="0" applyNumberFormat="1" applyFont="1" applyFill="1" applyBorder="1" applyAlignment="1">
      <alignment horizontal="right"/>
    </xf>
    <xf numFmtId="164" fontId="9" fillId="4" borderId="2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37" fontId="13" fillId="0" borderId="0" xfId="0" applyNumberFormat="1" applyFont="1" applyAlignment="1">
      <alignment horizontal="right"/>
    </xf>
    <xf numFmtId="37" fontId="0" fillId="0" borderId="0" xfId="0" applyNumberFormat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6" fontId="15" fillId="0" borderId="0" xfId="0" applyNumberFormat="1" applyFont="1"/>
    <xf numFmtId="166" fontId="0" fillId="0" borderId="0" xfId="0" applyNumberFormat="1"/>
    <xf numFmtId="166" fontId="7" fillId="0" borderId="0" xfId="0" applyNumberFormat="1" applyFont="1"/>
    <xf numFmtId="0" fontId="3" fillId="0" borderId="0" xfId="0" applyFont="1" applyAlignment="1">
      <alignment horizontal="left"/>
    </xf>
    <xf numFmtId="164" fontId="0" fillId="0" borderId="0" xfId="0" applyNumberFormat="1"/>
    <xf numFmtId="166" fontId="3" fillId="0" borderId="0" xfId="0" applyNumberFormat="1" applyFont="1"/>
    <xf numFmtId="167" fontId="0" fillId="0" borderId="0" xfId="0" applyNumberFormat="1" applyAlignment="1">
      <alignment horizontal="left"/>
    </xf>
    <xf numFmtId="0" fontId="0" fillId="0" borderId="0" xfId="0" applyAlignment="1">
      <alignment horizontal="right" indent="1"/>
    </xf>
    <xf numFmtId="167" fontId="0" fillId="0" borderId="1" xfId="0" applyNumberFormat="1" applyBorder="1" applyAlignment="1">
      <alignment horizontal="left"/>
    </xf>
    <xf numFmtId="164" fontId="9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1"/>
    </xf>
    <xf numFmtId="0" fontId="3" fillId="5" borderId="3" xfId="0" applyFont="1" applyFill="1" applyBorder="1"/>
    <xf numFmtId="0" fontId="3" fillId="5" borderId="4" xfId="0" applyFont="1" applyFill="1" applyBorder="1"/>
    <xf numFmtId="2" fontId="3" fillId="5" borderId="5" xfId="0" applyNumberFormat="1" applyFont="1" applyFill="1" applyBorder="1" applyAlignment="1">
      <alignment horizontal="right" indent="1"/>
    </xf>
    <xf numFmtId="39" fontId="0" fillId="0" borderId="0" xfId="0" applyNumberFormat="1"/>
    <xf numFmtId="37" fontId="16" fillId="0" borderId="0" xfId="0" applyNumberFormat="1" applyFont="1" applyAlignment="1">
      <alignment horizontal="right"/>
    </xf>
    <xf numFmtId="37" fontId="15" fillId="0" borderId="0" xfId="0" applyNumberFormat="1" applyFont="1" applyAlignment="1">
      <alignment horizontal="right"/>
    </xf>
    <xf numFmtId="168" fontId="2" fillId="3" borderId="0" xfId="0" applyNumberFormat="1" applyFont="1" applyFill="1"/>
    <xf numFmtId="169" fontId="2" fillId="3" borderId="0" xfId="0" applyNumberFormat="1" applyFont="1" applyFill="1"/>
    <xf numFmtId="0" fontId="3" fillId="5" borderId="6" xfId="0" applyFont="1" applyFill="1" applyBorder="1"/>
    <xf numFmtId="37" fontId="22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37" fontId="3" fillId="0" borderId="5" xfId="0" applyNumberFormat="1" applyFont="1" applyBorder="1"/>
    <xf numFmtId="0" fontId="8" fillId="0" borderId="0" xfId="0" applyFont="1"/>
    <xf numFmtId="0" fontId="23" fillId="0" borderId="0" xfId="3"/>
    <xf numFmtId="3" fontId="23" fillId="7" borderId="0" xfId="3" applyNumberFormat="1" applyFill="1" applyAlignment="1">
      <alignment horizontal="right"/>
    </xf>
    <xf numFmtId="3" fontId="24" fillId="7" borderId="0" xfId="3" applyNumberFormat="1" applyFont="1" applyFill="1" applyAlignment="1">
      <alignment horizontal="right"/>
    </xf>
    <xf numFmtId="0" fontId="23" fillId="7" borderId="0" xfId="3" applyFill="1" applyAlignment="1">
      <alignment horizontal="left"/>
    </xf>
    <xf numFmtId="3" fontId="24" fillId="0" borderId="0" xfId="3" applyNumberFormat="1" applyFont="1" applyAlignment="1">
      <alignment horizontal="right"/>
    </xf>
    <xf numFmtId="0" fontId="23" fillId="0" borderId="0" xfId="3" applyAlignment="1">
      <alignment horizontal="left"/>
    </xf>
    <xf numFmtId="3" fontId="23" fillId="0" borderId="0" xfId="3" applyNumberFormat="1" applyAlignment="1">
      <alignment horizontal="right"/>
    </xf>
    <xf numFmtId="0" fontId="25" fillId="8" borderId="0" xfId="3" applyFont="1" applyFill="1" applyAlignment="1">
      <alignment horizontal="left"/>
    </xf>
    <xf numFmtId="0" fontId="25" fillId="0" borderId="0" xfId="3" applyFont="1"/>
    <xf numFmtId="0" fontId="23" fillId="7" borderId="0" xfId="3" quotePrefix="1" applyFill="1" applyAlignment="1">
      <alignment horizontal="left"/>
    </xf>
    <xf numFmtId="0" fontId="23" fillId="0" borderId="0" xfId="3" quotePrefix="1" applyAlignment="1">
      <alignment horizontal="left"/>
    </xf>
    <xf numFmtId="0" fontId="26" fillId="0" borderId="0" xfId="3" applyFont="1" applyAlignment="1">
      <alignment horizontal="left"/>
    </xf>
    <xf numFmtId="4" fontId="23" fillId="0" borderId="0" xfId="3" applyNumberFormat="1" applyAlignment="1">
      <alignment horizontal="right"/>
    </xf>
    <xf numFmtId="4" fontId="24" fillId="0" borderId="0" xfId="3" applyNumberFormat="1" applyFont="1" applyAlignment="1">
      <alignment horizontal="right"/>
    </xf>
    <xf numFmtId="0" fontId="23" fillId="0" borderId="0" xfId="3" applyAlignment="1">
      <alignment horizontal="left" indent="4"/>
    </xf>
    <xf numFmtId="0" fontId="23" fillId="7" borderId="0" xfId="3" applyFill="1" applyAlignment="1">
      <alignment horizontal="left" indent="4"/>
    </xf>
    <xf numFmtId="3" fontId="27" fillId="0" borderId="0" xfId="3" applyNumberFormat="1" applyFont="1" applyAlignment="1">
      <alignment horizontal="right"/>
    </xf>
    <xf numFmtId="0" fontId="27" fillId="0" borderId="0" xfId="3" applyFont="1" applyAlignment="1">
      <alignment horizontal="left" indent="3"/>
    </xf>
    <xf numFmtId="0" fontId="23" fillId="7" borderId="0" xfId="3" applyFill="1" applyAlignment="1">
      <alignment horizontal="left" indent="1"/>
    </xf>
    <xf numFmtId="0" fontId="23" fillId="0" borderId="0" xfId="3" applyAlignment="1">
      <alignment horizontal="left" indent="1"/>
    </xf>
    <xf numFmtId="0" fontId="27" fillId="7" borderId="0" xfId="3" applyFont="1" applyFill="1" applyAlignment="1">
      <alignment horizontal="left"/>
    </xf>
    <xf numFmtId="0" fontId="23" fillId="7" borderId="0" xfId="3" applyFill="1" applyAlignment="1">
      <alignment horizontal="left" indent="7"/>
    </xf>
    <xf numFmtId="0" fontId="23" fillId="0" borderId="0" xfId="3" applyAlignment="1">
      <alignment horizontal="left" indent="7"/>
    </xf>
    <xf numFmtId="3" fontId="27" fillId="7" borderId="0" xfId="3" applyNumberFormat="1" applyFont="1" applyFill="1" applyAlignment="1">
      <alignment horizontal="right"/>
    </xf>
    <xf numFmtId="0" fontId="27" fillId="7" borderId="0" xfId="3" applyFont="1" applyFill="1" applyAlignment="1">
      <alignment horizontal="left" indent="6"/>
    </xf>
    <xf numFmtId="0" fontId="27" fillId="7" borderId="0" xfId="3" applyFont="1" applyFill="1" applyAlignment="1">
      <alignment horizontal="left" indent="3"/>
    </xf>
    <xf numFmtId="0" fontId="27" fillId="0" borderId="0" xfId="3" applyFont="1" applyAlignment="1">
      <alignment horizontal="left"/>
    </xf>
    <xf numFmtId="0" fontId="23" fillId="0" borderId="11" xfId="3" applyBorder="1"/>
    <xf numFmtId="0" fontId="23" fillId="0" borderId="12" xfId="3" applyBorder="1"/>
    <xf numFmtId="4" fontId="23" fillId="7" borderId="0" xfId="3" applyNumberFormat="1" applyFill="1" applyAlignment="1">
      <alignment horizontal="right"/>
    </xf>
    <xf numFmtId="4" fontId="27" fillId="0" borderId="0" xfId="3" applyNumberFormat="1" applyFont="1" applyAlignment="1">
      <alignment horizontal="right"/>
    </xf>
    <xf numFmtId="4" fontId="27" fillId="7" borderId="0" xfId="3" applyNumberFormat="1" applyFont="1" applyFill="1" applyAlignment="1">
      <alignment horizontal="right"/>
    </xf>
    <xf numFmtId="0" fontId="27" fillId="0" borderId="0" xfId="3" applyFont="1" applyAlignment="1">
      <alignment horizontal="left" indent="6"/>
    </xf>
    <xf numFmtId="0" fontId="2" fillId="9" borderId="0" xfId="0" applyFont="1" applyFill="1"/>
    <xf numFmtId="0" fontId="0" fillId="9" borderId="0" xfId="0" applyFill="1"/>
    <xf numFmtId="3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6" borderId="2" xfId="0" applyNumberFormat="1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170" fontId="0" fillId="0" borderId="0" xfId="0" applyNumberFormat="1"/>
    <xf numFmtId="3" fontId="0" fillId="6" borderId="2" xfId="0" applyNumberFormat="1" applyFill="1" applyBorder="1" applyAlignment="1">
      <alignment horizontal="right"/>
    </xf>
    <xf numFmtId="0" fontId="23" fillId="0" borderId="0" xfId="3" applyAlignment="1">
      <alignment horizontal="right"/>
    </xf>
    <xf numFmtId="0" fontId="23" fillId="7" borderId="0" xfId="3" applyFill="1" applyAlignment="1">
      <alignment horizontal="right"/>
    </xf>
    <xf numFmtId="0" fontId="25" fillId="0" borderId="0" xfId="3" applyFont="1" applyAlignment="1">
      <alignment horizontal="left"/>
    </xf>
    <xf numFmtId="3" fontId="25" fillId="0" borderId="0" xfId="3" applyNumberFormat="1" applyFont="1" applyAlignment="1">
      <alignment horizontal="right"/>
    </xf>
    <xf numFmtId="0" fontId="25" fillId="7" borderId="0" xfId="3" applyFont="1" applyFill="1" applyAlignment="1">
      <alignment horizontal="left"/>
    </xf>
    <xf numFmtId="3" fontId="25" fillId="7" borderId="0" xfId="3" applyNumberFormat="1" applyFont="1" applyFill="1" applyAlignment="1">
      <alignment horizontal="right"/>
    </xf>
    <xf numFmtId="0" fontId="0" fillId="2" borderId="0" xfId="0" applyFill="1"/>
    <xf numFmtId="3" fontId="16" fillId="0" borderId="0" xfId="0" applyNumberFormat="1" applyFont="1"/>
    <xf numFmtId="3" fontId="16" fillId="0" borderId="0" xfId="0" applyNumberFormat="1" applyFont="1" applyAlignment="1">
      <alignment horizontal="right"/>
    </xf>
    <xf numFmtId="3" fontId="3" fillId="5" borderId="7" xfId="0" applyNumberFormat="1" applyFont="1" applyFill="1" applyBorder="1"/>
    <xf numFmtId="3" fontId="3" fillId="5" borderId="8" xfId="0" applyNumberFormat="1" applyFont="1" applyFill="1" applyBorder="1"/>
    <xf numFmtId="0" fontId="21" fillId="5" borderId="9" xfId="0" applyFont="1" applyFill="1" applyBorder="1"/>
    <xf numFmtId="9" fontId="20" fillId="5" borderId="1" xfId="1" applyFont="1" applyFill="1" applyBorder="1" applyAlignment="1">
      <alignment horizontal="right"/>
    </xf>
    <xf numFmtId="9" fontId="20" fillId="5" borderId="1" xfId="1" applyFont="1" applyFill="1" applyBorder="1"/>
    <xf numFmtId="9" fontId="20" fillId="5" borderId="10" xfId="1" applyFont="1" applyFill="1" applyBorder="1"/>
    <xf numFmtId="37" fontId="16" fillId="0" borderId="0" xfId="0" applyNumberFormat="1" applyFont="1"/>
    <xf numFmtId="9" fontId="20" fillId="5" borderId="10" xfId="1" applyFont="1" applyFill="1" applyBorder="1" applyAlignment="1">
      <alignment horizontal="right"/>
    </xf>
    <xf numFmtId="171" fontId="17" fillId="0" borderId="0" xfId="1" applyNumberFormat="1" applyFont="1"/>
    <xf numFmtId="171" fontId="19" fillId="0" borderId="0" xfId="1" applyNumberFormat="1" applyFont="1"/>
    <xf numFmtId="171" fontId="17" fillId="0" borderId="0" xfId="1" applyNumberFormat="1" applyFont="1" applyAlignment="1">
      <alignment horizontal="right"/>
    </xf>
    <xf numFmtId="0" fontId="0" fillId="0" borderId="0" xfId="0" quotePrefix="1" applyAlignment="1">
      <alignment horizontal="right"/>
    </xf>
    <xf numFmtId="37" fontId="22" fillId="0" borderId="0" xfId="0" applyNumberFormat="1" applyFont="1" applyAlignment="1">
      <alignment horizontal="right"/>
    </xf>
    <xf numFmtId="171" fontId="19" fillId="0" borderId="0" xfId="0" applyNumberFormat="1" applyFont="1"/>
    <xf numFmtId="171" fontId="18" fillId="0" borderId="0" xfId="1" applyNumberFormat="1" applyFont="1"/>
    <xf numFmtId="37" fontId="3" fillId="0" borderId="4" xfId="0" applyNumberFormat="1" applyFont="1" applyBorder="1"/>
    <xf numFmtId="165" fontId="1" fillId="0" borderId="0" xfId="1" applyNumberFormat="1" applyFont="1"/>
    <xf numFmtId="0" fontId="0" fillId="6" borderId="2" xfId="0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10" fontId="16" fillId="6" borderId="2" xfId="0" applyNumberFormat="1" applyFont="1" applyFill="1" applyBorder="1" applyAlignment="1">
      <alignment horizontal="center"/>
    </xf>
    <xf numFmtId="10" fontId="7" fillId="6" borderId="2" xfId="0" applyNumberFormat="1" applyFont="1" applyFill="1" applyBorder="1" applyAlignment="1">
      <alignment horizontal="center"/>
    </xf>
    <xf numFmtId="2" fontId="0" fillId="0" borderId="0" xfId="0" applyNumberFormat="1"/>
    <xf numFmtId="0" fontId="3" fillId="0" borderId="6" xfId="0" applyFont="1" applyBorder="1"/>
    <xf numFmtId="0" fontId="3" fillId="0" borderId="7" xfId="0" applyFont="1" applyBorder="1"/>
    <xf numFmtId="37" fontId="3" fillId="0" borderId="7" xfId="0" applyNumberFormat="1" applyFont="1" applyBorder="1"/>
    <xf numFmtId="37" fontId="3" fillId="0" borderId="8" xfId="0" applyNumberFormat="1" applyFont="1" applyBorder="1"/>
    <xf numFmtId="0" fontId="3" fillId="0" borderId="9" xfId="0" applyFont="1" applyBorder="1"/>
    <xf numFmtId="0" fontId="3" fillId="0" borderId="1" xfId="0" applyFont="1" applyBorder="1"/>
    <xf numFmtId="37" fontId="3" fillId="0" borderId="1" xfId="0" applyNumberFormat="1" applyFont="1" applyBorder="1"/>
    <xf numFmtId="37" fontId="3" fillId="0" borderId="10" xfId="0" applyNumberFormat="1" applyFont="1" applyBorder="1"/>
  </cellXfs>
  <cellStyles count="4">
    <cellStyle name="Hyperlink" xfId="2" builtinId="8"/>
    <cellStyle name="Normal" xfId="0" builtinId="0"/>
    <cellStyle name="Normal 2" xfId="3" xr:uid="{050E5AFE-B2D3-41EB-98AB-FB21231BE172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Models/LBOs/2024.08.13%20-%20Burger%20King%20LBO%20Stream%20-%20Part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Models/Chipotle/2024.07.27%20-%20Chipotle%20DCF.xlsx" TargetMode="External"/><Relationship Id="rId1" Type="http://schemas.openxmlformats.org/officeDocument/2006/relationships/externalLinkPath" Target="https://d.docs.live.net/4fc5d5c8c4852779/Desktop/Models/Chipotle/2024.07.27%20-%20Chipotle%20D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>
        <row r="6">
          <cell r="E6" t="str">
            <v>OFF</v>
          </cell>
        </row>
        <row r="7">
          <cell r="E7">
            <v>2</v>
          </cell>
        </row>
        <row r="8">
          <cell r="E8">
            <v>2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CF"/>
      <sheetName val="WACC"/>
      <sheetName val="Shares"/>
      <sheetName val="IS - Historicals"/>
      <sheetName val="IS - Forecast"/>
      <sheetName val="CFS - Historicals"/>
      <sheetName val="CFS - Forecast"/>
    </sheetNames>
    <sheetDataSet>
      <sheetData sheetId="0" refreshError="1"/>
      <sheetData sheetId="1" refreshError="1">
        <row r="18">
          <cell r="E18">
            <v>8.4806000000000006E-2</v>
          </cell>
        </row>
        <row r="19">
          <cell r="E19">
            <v>2.5000000000000001E-2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playlist?list=PL71QplJWp1RoaKEMTo_9CZA-kyjwT5rGo" TargetMode="External"/><Relationship Id="rId2" Type="http://schemas.openxmlformats.org/officeDocument/2006/relationships/hyperlink" Target="https://youtu.be/nyot7FkYoqM" TargetMode="External"/><Relationship Id="rId1" Type="http://schemas.openxmlformats.org/officeDocument/2006/relationships/hyperlink" Target="https://discord.gg/AHnxBUGTwt" TargetMode="External"/><Relationship Id="rId5" Type="http://schemas.openxmlformats.org/officeDocument/2006/relationships/hyperlink" Target="https://youtube.com/live/fmoE3H8RjP4" TargetMode="External"/><Relationship Id="rId4" Type="http://schemas.openxmlformats.org/officeDocument/2006/relationships/hyperlink" Target="https://www.youtube.com/watch?v=hQfLWritg9s&amp;list=PL71QplJWp1RoobXOSA77YooScaVYmPoj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27E3-42CC-4708-873A-E7EFFE7560BD}">
  <dimension ref="A2:V32"/>
  <sheetViews>
    <sheetView showGridLines="0" zoomScale="170" zoomScaleNormal="170" workbookViewId="0"/>
  </sheetViews>
  <sheetFormatPr baseColWidth="10" defaultColWidth="8.83203125" defaultRowHeight="15" x14ac:dyDescent="0.2"/>
  <cols>
    <col min="1" max="1" width="3.5" style="4" customWidth="1"/>
  </cols>
  <sheetData>
    <row r="2" spans="1:20" s="3" customFormat="1" ht="21" x14ac:dyDescent="0.25">
      <c r="A2" s="1"/>
      <c r="B2" s="2" t="s">
        <v>0</v>
      </c>
    </row>
    <row r="4" spans="1:20" x14ac:dyDescent="0.2">
      <c r="A4" s="4" t="s">
        <v>1</v>
      </c>
      <c r="B4" s="5" t="s">
        <v>63</v>
      </c>
      <c r="C4" s="5"/>
      <c r="D4" s="5"/>
      <c r="E4" s="5"/>
      <c r="F4" s="5"/>
      <c r="H4" s="5" t="s">
        <v>75</v>
      </c>
      <c r="I4" s="5"/>
      <c r="J4" s="5"/>
      <c r="K4" s="5"/>
      <c r="L4" s="5"/>
      <c r="N4" s="5" t="s">
        <v>76</v>
      </c>
      <c r="O4" s="5"/>
      <c r="P4" s="5"/>
      <c r="Q4" s="5"/>
      <c r="R4" s="5"/>
    </row>
    <row r="5" spans="1:20" x14ac:dyDescent="0.2">
      <c r="B5" s="6" t="s">
        <v>13</v>
      </c>
      <c r="H5" s="6" t="s">
        <v>265</v>
      </c>
      <c r="I5" s="6"/>
      <c r="J5" s="6"/>
      <c r="K5" s="6"/>
      <c r="L5" s="6"/>
      <c r="M5" s="6"/>
      <c r="N5" s="6" t="s">
        <v>81</v>
      </c>
      <c r="T5" s="6"/>
    </row>
    <row r="6" spans="1:20" x14ac:dyDescent="0.2">
      <c r="B6" s="7" t="s">
        <v>64</v>
      </c>
      <c r="H6" s="7" t="s">
        <v>68</v>
      </c>
      <c r="N6" s="7" t="s">
        <v>238</v>
      </c>
      <c r="T6" s="7"/>
    </row>
    <row r="7" spans="1:20" x14ac:dyDescent="0.2">
      <c r="B7" s="7" t="s">
        <v>65</v>
      </c>
      <c r="H7" s="7" t="s">
        <v>239</v>
      </c>
      <c r="N7" s="7" t="s">
        <v>78</v>
      </c>
      <c r="T7" s="7"/>
    </row>
    <row r="8" spans="1:20" x14ac:dyDescent="0.2">
      <c r="B8" s="7" t="s">
        <v>66</v>
      </c>
      <c r="H8" s="7" t="s">
        <v>77</v>
      </c>
      <c r="N8" s="7" t="s">
        <v>244</v>
      </c>
      <c r="T8" s="7"/>
    </row>
    <row r="9" spans="1:20" x14ac:dyDescent="0.2">
      <c r="B9" s="7" t="s">
        <v>67</v>
      </c>
      <c r="H9" s="7" t="s">
        <v>73</v>
      </c>
      <c r="N9" s="7" t="s">
        <v>69</v>
      </c>
      <c r="T9" s="7"/>
    </row>
    <row r="10" spans="1:20" x14ac:dyDescent="0.2">
      <c r="B10" s="7"/>
      <c r="H10" s="7" t="s">
        <v>72</v>
      </c>
      <c r="N10" s="7" t="s">
        <v>70</v>
      </c>
      <c r="T10" s="7"/>
    </row>
    <row r="11" spans="1:20" x14ac:dyDescent="0.2">
      <c r="H11" s="7" t="s">
        <v>66</v>
      </c>
      <c r="N11" s="7" t="s">
        <v>74</v>
      </c>
      <c r="T11" s="7"/>
    </row>
    <row r="12" spans="1:20" x14ac:dyDescent="0.2">
      <c r="H12" s="7" t="s">
        <v>71</v>
      </c>
      <c r="N12" s="7" t="s">
        <v>57</v>
      </c>
      <c r="T12" s="7"/>
    </row>
    <row r="13" spans="1:20" x14ac:dyDescent="0.2">
      <c r="T13" s="7"/>
    </row>
    <row r="14" spans="1:20" x14ac:dyDescent="0.2">
      <c r="A14" s="4" t="s">
        <v>1</v>
      </c>
      <c r="B14" s="5" t="s">
        <v>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T14" s="7"/>
    </row>
    <row r="15" spans="1:20" x14ac:dyDescent="0.2">
      <c r="B15" t="s">
        <v>3</v>
      </c>
    </row>
    <row r="16" spans="1:20" x14ac:dyDescent="0.2">
      <c r="B16" t="s">
        <v>4</v>
      </c>
      <c r="G16" s="6" t="s">
        <v>62</v>
      </c>
    </row>
    <row r="17" spans="1:22" x14ac:dyDescent="0.2">
      <c r="B17" t="s">
        <v>5</v>
      </c>
      <c r="G17" s="6" t="s">
        <v>6</v>
      </c>
    </row>
    <row r="18" spans="1:22" x14ac:dyDescent="0.2">
      <c r="G18" s="6"/>
    </row>
    <row r="19" spans="1:22" x14ac:dyDescent="0.2">
      <c r="B19" t="s">
        <v>235</v>
      </c>
      <c r="G19" s="6" t="s">
        <v>236</v>
      </c>
    </row>
    <row r="20" spans="1:22" x14ac:dyDescent="0.2">
      <c r="B20" t="s">
        <v>79</v>
      </c>
      <c r="G20" s="6" t="s">
        <v>80</v>
      </c>
    </row>
    <row r="21" spans="1:22" x14ac:dyDescent="0.2">
      <c r="B21" t="s">
        <v>7</v>
      </c>
      <c r="G21" s="6" t="s">
        <v>8</v>
      </c>
    </row>
    <row r="22" spans="1:22" x14ac:dyDescent="0.2">
      <c r="B22" t="s">
        <v>9</v>
      </c>
      <c r="G22" s="6" t="s">
        <v>10</v>
      </c>
    </row>
    <row r="23" spans="1:22" x14ac:dyDescent="0.2">
      <c r="B23" t="s">
        <v>11</v>
      </c>
      <c r="G23" s="6" t="s">
        <v>12</v>
      </c>
      <c r="V23" t="s">
        <v>234</v>
      </c>
    </row>
    <row r="24" spans="1:22" x14ac:dyDescent="0.2">
      <c r="B24" t="s">
        <v>14</v>
      </c>
      <c r="G24" s="6" t="s">
        <v>15</v>
      </c>
    </row>
    <row r="26" spans="1:22" x14ac:dyDescent="0.2">
      <c r="A26" s="4" t="s">
        <v>1</v>
      </c>
      <c r="B26" s="5" t="s">
        <v>16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22" ht="3" customHeigh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22" x14ac:dyDescent="0.2">
      <c r="B28" t="s">
        <v>17</v>
      </c>
      <c r="G28" s="6" t="s">
        <v>18</v>
      </c>
    </row>
    <row r="29" spans="1:22" x14ac:dyDescent="0.2">
      <c r="B29" t="s">
        <v>19</v>
      </c>
      <c r="G29" s="6" t="s">
        <v>20</v>
      </c>
    </row>
    <row r="30" spans="1:22" x14ac:dyDescent="0.2">
      <c r="B30" t="s">
        <v>21</v>
      </c>
      <c r="G30" s="6" t="s">
        <v>22</v>
      </c>
    </row>
    <row r="31" spans="1:22" x14ac:dyDescent="0.2">
      <c r="B31" t="s">
        <v>23</v>
      </c>
      <c r="G31" s="6" t="s">
        <v>24</v>
      </c>
    </row>
    <row r="32" spans="1:22" x14ac:dyDescent="0.2">
      <c r="B32" t="s">
        <v>25</v>
      </c>
      <c r="G32" s="6" t="s">
        <v>26</v>
      </c>
    </row>
  </sheetData>
  <hyperlinks>
    <hyperlink ref="G16" r:id="rId1" xr:uid="{4028F550-FE9B-4670-A734-DB2E2ADD555A}"/>
    <hyperlink ref="B5" r:id="rId2" xr:uid="{7A2F9B7F-63D7-49C6-BC5A-B69EF848C260}"/>
    <hyperlink ref="G20" r:id="rId3" xr:uid="{96E1B9B7-D7CA-4B3C-B9FA-0AA1CC463B41}"/>
    <hyperlink ref="G19" r:id="rId4" xr:uid="{89ED5A71-BC48-4694-BFE5-4A6BB5C01C84}"/>
    <hyperlink ref="H5" r:id="rId5" xr:uid="{814D87C6-CCD1-4D90-9C55-821D848797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B51B-E0BB-4FE4-80CA-E4DE97C984FB}">
  <dimension ref="A2:R106"/>
  <sheetViews>
    <sheetView showGridLines="0" tabSelected="1" zoomScaleNormal="155" workbookViewId="0">
      <selection activeCell="L95" sqref="L95"/>
    </sheetView>
  </sheetViews>
  <sheetFormatPr baseColWidth="10" defaultColWidth="15.5" defaultRowHeight="15" outlineLevelCol="1" x14ac:dyDescent="0.2"/>
  <cols>
    <col min="1" max="1" width="3.5" style="4" customWidth="1"/>
    <col min="2" max="2" width="28.6640625" customWidth="1"/>
    <col min="3" max="8" width="15.5" hidden="1" customWidth="1" outlineLevel="1"/>
    <col min="9" max="9" width="0.1640625" hidden="1" customWidth="1" outlineLevel="1"/>
    <col min="10" max="10" width="51" customWidth="1" outlineLevel="1"/>
    <col min="11" max="11" width="41" customWidth="1" outlineLevel="1"/>
    <col min="13" max="13" width="15.83203125" customWidth="1"/>
  </cols>
  <sheetData>
    <row r="2" spans="1:17" s="3" customFormat="1" ht="21" x14ac:dyDescent="0.25">
      <c r="A2" s="1"/>
      <c r="B2" s="2" t="s">
        <v>131</v>
      </c>
    </row>
    <row r="4" spans="1:17" x14ac:dyDescent="0.2">
      <c r="A4" s="4" t="s">
        <v>1</v>
      </c>
      <c r="B4" t="s">
        <v>28</v>
      </c>
      <c r="L4" s="115" t="s">
        <v>252</v>
      </c>
    </row>
    <row r="5" spans="1:17" x14ac:dyDescent="0.2">
      <c r="B5" t="s">
        <v>250</v>
      </c>
      <c r="L5" s="116">
        <v>45534</v>
      </c>
    </row>
    <row r="6" spans="1:17" x14ac:dyDescent="0.2">
      <c r="B6" t="s">
        <v>251</v>
      </c>
      <c r="L6" s="116">
        <v>45657</v>
      </c>
    </row>
    <row r="8" spans="1:17" x14ac:dyDescent="0.2">
      <c r="A8" s="4" t="s">
        <v>1</v>
      </c>
      <c r="B8" s="5" t="s">
        <v>27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</row>
    <row r="9" spans="1:17" ht="5" customHeight="1" x14ac:dyDescent="0.2"/>
    <row r="10" spans="1:17" x14ac:dyDescent="0.2">
      <c r="B10" t="s">
        <v>222</v>
      </c>
      <c r="L10" s="117">
        <f>WACC!F22</f>
        <v>8.4389860337395248E-2</v>
      </c>
    </row>
    <row r="11" spans="1:17" x14ac:dyDescent="0.2">
      <c r="B11" t="s">
        <v>253</v>
      </c>
      <c r="L11" s="118">
        <v>2.5000000000000001E-2</v>
      </c>
    </row>
    <row r="13" spans="1:17" x14ac:dyDescent="0.2">
      <c r="A13" s="4" t="s">
        <v>1</v>
      </c>
      <c r="B13" s="5" t="s">
        <v>242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</row>
    <row r="14" spans="1:17" ht="5" customHeight="1" x14ac:dyDescent="0.2"/>
    <row r="15" spans="1:17" x14ac:dyDescent="0.2">
      <c r="A15" s="4" t="s">
        <v>1</v>
      </c>
      <c r="B15" s="9" t="s">
        <v>45</v>
      </c>
      <c r="C15" s="39">
        <v>2015</v>
      </c>
      <c r="D15" s="39">
        <f t="shared" ref="D15:M15" si="0">C15+1</f>
        <v>2016</v>
      </c>
      <c r="E15" s="39">
        <f t="shared" si="0"/>
        <v>2017</v>
      </c>
      <c r="F15" s="39">
        <f t="shared" si="0"/>
        <v>2018</v>
      </c>
      <c r="G15" s="39">
        <f t="shared" si="0"/>
        <v>2019</v>
      </c>
      <c r="H15" s="39">
        <f t="shared" si="0"/>
        <v>2020</v>
      </c>
      <c r="I15" s="39">
        <f t="shared" si="0"/>
        <v>2021</v>
      </c>
      <c r="J15" s="39">
        <f t="shared" si="0"/>
        <v>2022</v>
      </c>
      <c r="K15" s="39">
        <f t="shared" si="0"/>
        <v>2023</v>
      </c>
      <c r="L15" s="40">
        <f t="shared" si="0"/>
        <v>2024</v>
      </c>
      <c r="M15" s="40">
        <f t="shared" si="0"/>
        <v>2025</v>
      </c>
      <c r="N15" s="40">
        <f t="shared" ref="N15:P15" si="1">M15+1</f>
        <v>2026</v>
      </c>
      <c r="O15" s="40">
        <f t="shared" si="1"/>
        <v>2027</v>
      </c>
      <c r="P15" s="40">
        <f t="shared" si="1"/>
        <v>2028</v>
      </c>
      <c r="Q15" s="40">
        <f t="shared" ref="Q15" si="2">P15+1</f>
        <v>2029</v>
      </c>
    </row>
    <row r="16" spans="1:17" ht="5" customHeight="1" x14ac:dyDescent="0.2"/>
    <row r="17" spans="1:17" x14ac:dyDescent="0.2">
      <c r="B17" t="s">
        <v>124</v>
      </c>
      <c r="C17" s="37">
        <f>Segments!C6</f>
        <v>63708</v>
      </c>
      <c r="D17" s="104">
        <f>Segments!D6</f>
        <v>79785</v>
      </c>
      <c r="E17" s="104">
        <f>Segments!E6</f>
        <v>106110</v>
      </c>
      <c r="F17" s="104">
        <f>Segments!F6</f>
        <v>141366</v>
      </c>
      <c r="G17" s="104">
        <f>Segments!G6</f>
        <v>170773</v>
      </c>
      <c r="H17" s="104">
        <f>Segments!H6</f>
        <v>236282</v>
      </c>
      <c r="I17" s="104">
        <f>Segments!I6</f>
        <v>279833</v>
      </c>
      <c r="J17" s="104">
        <f>Segments!J6</f>
        <v>315880</v>
      </c>
      <c r="K17" s="104">
        <f>Segments!K6</f>
        <v>352828</v>
      </c>
      <c r="L17" s="104">
        <f>Segments!L6</f>
        <v>386647</v>
      </c>
      <c r="M17" s="104">
        <f>Segments!M6</f>
        <v>423461</v>
      </c>
      <c r="N17" s="104">
        <f>Segments!N6</f>
        <v>461471</v>
      </c>
      <c r="O17" s="104">
        <f>Segments!O6</f>
        <v>497416</v>
      </c>
      <c r="P17" s="104">
        <f>Segments!P6</f>
        <v>546306</v>
      </c>
      <c r="Q17" s="104">
        <f>Segments!Q6</f>
        <v>590847</v>
      </c>
    </row>
    <row r="18" spans="1:17" x14ac:dyDescent="0.2">
      <c r="B18" s="46" t="s">
        <v>46</v>
      </c>
      <c r="C18" s="108" t="str">
        <f>IF(ISERROR(C17/B17-1),"--",C17/B17-1)</f>
        <v>--</v>
      </c>
      <c r="D18" s="106">
        <f>IF(ISERROR(D17/C17-1),"--",D17/C17-1)</f>
        <v>0.25235449237144469</v>
      </c>
      <c r="E18" s="106">
        <f t="shared" ref="E18:Q18" si="3">IF(ISERROR(E17/D17-1),"--",E17/D17-1)</f>
        <v>0.32994923857868019</v>
      </c>
      <c r="F18" s="106">
        <f t="shared" si="3"/>
        <v>0.33225897653378578</v>
      </c>
      <c r="G18" s="106">
        <f t="shared" si="3"/>
        <v>0.20802031605902416</v>
      </c>
      <c r="H18" s="106">
        <f t="shared" si="3"/>
        <v>0.38360279435273736</v>
      </c>
      <c r="I18" s="106">
        <f t="shared" si="3"/>
        <v>0.1843178913332375</v>
      </c>
      <c r="J18" s="106"/>
      <c r="K18" s="106">
        <f>IF(ISERROR(K17/J17-1),"--",K17/J17-1)</f>
        <v>0.11696846903887548</v>
      </c>
      <c r="L18" s="106">
        <f>IF(ISERROR(L17/K17-1),"--",L17/K17-1)</f>
        <v>9.5851236296438991E-2</v>
      </c>
      <c r="M18" s="106">
        <f>IF(ISERROR(M17/L17-1),"--",M17/L17-1)</f>
        <v>9.5213463443399204E-2</v>
      </c>
      <c r="N18" s="106">
        <f t="shared" si="3"/>
        <v>8.9760332120313313E-2</v>
      </c>
      <c r="O18" s="107">
        <f t="shared" si="3"/>
        <v>7.7892218579282302E-2</v>
      </c>
      <c r="P18" s="107">
        <f t="shared" si="3"/>
        <v>9.8287952136642209E-2</v>
      </c>
      <c r="Q18" s="107">
        <f t="shared" si="3"/>
        <v>8.1531229750359646E-2</v>
      </c>
    </row>
    <row r="19" spans="1:17" x14ac:dyDescent="0.2">
      <c r="B19" s="46" t="s">
        <v>240</v>
      </c>
      <c r="C19" s="108">
        <f>C17/C$29</f>
        <v>0.59536848401024245</v>
      </c>
      <c r="D19" s="108">
        <f t="shared" ref="D19:Q19" si="4">D17/D$29</f>
        <v>0.58671049438549272</v>
      </c>
      <c r="E19" s="108">
        <f t="shared" si="4"/>
        <v>0.59657270079722935</v>
      </c>
      <c r="F19" s="108">
        <f t="shared" si="4"/>
        <v>0.6070154194952917</v>
      </c>
      <c r="G19" s="108">
        <f t="shared" si="4"/>
        <v>0.60876865272598946</v>
      </c>
      <c r="H19" s="108">
        <f t="shared" si="4"/>
        <v>0.61202805752414102</v>
      </c>
      <c r="I19" s="108">
        <f t="shared" si="4"/>
        <v>0.59561493501794294</v>
      </c>
      <c r="J19" s="108">
        <f t="shared" si="4"/>
        <v>0.61457285552245888</v>
      </c>
      <c r="K19" s="108">
        <f t="shared" si="4"/>
        <v>0.61384343711126765</v>
      </c>
      <c r="L19" s="108">
        <f t="shared" si="4"/>
        <v>0.60827410225188239</v>
      </c>
      <c r="M19" s="108">
        <f t="shared" si="4"/>
        <v>0.59999943324232152</v>
      </c>
      <c r="N19" s="108">
        <f t="shared" si="4"/>
        <v>0.58799072916706485</v>
      </c>
      <c r="O19" s="108">
        <f t="shared" si="4"/>
        <v>0.57396780852662099</v>
      </c>
      <c r="P19" s="108">
        <f t="shared" si="4"/>
        <v>0.57238020799500444</v>
      </c>
      <c r="Q19" s="108">
        <f t="shared" si="4"/>
        <v>0.55955871489777598</v>
      </c>
    </row>
    <row r="20" spans="1:17" x14ac:dyDescent="0.2">
      <c r="C20" s="97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</row>
    <row r="21" spans="1:17" x14ac:dyDescent="0.2">
      <c r="B21" t="s">
        <v>123</v>
      </c>
      <c r="C21" s="37">
        <f>Segments!C8</f>
        <v>35418</v>
      </c>
      <c r="D21" s="104">
        <f>Segments!D8</f>
        <v>43983</v>
      </c>
      <c r="E21" s="104">
        <f>Segments!E8</f>
        <v>54297</v>
      </c>
      <c r="F21" s="104">
        <f>Segments!F8</f>
        <v>65866</v>
      </c>
      <c r="G21" s="104">
        <f>Segments!G8</f>
        <v>74723</v>
      </c>
      <c r="H21" s="104">
        <f>Segments!H8</f>
        <v>104412</v>
      </c>
      <c r="I21" s="104">
        <f>Segments!I8</f>
        <v>127787</v>
      </c>
      <c r="J21" s="104">
        <f>Segments!J8</f>
        <v>118007</v>
      </c>
      <c r="K21" s="104">
        <f>Segments!K8</f>
        <v>131200</v>
      </c>
      <c r="L21" s="104">
        <f>Segments!L8</f>
        <v>141444</v>
      </c>
      <c r="M21" s="104">
        <f>Segments!M8</f>
        <v>154680</v>
      </c>
      <c r="N21" s="104">
        <f>Segments!N8</f>
        <v>171709</v>
      </c>
      <c r="O21" s="104">
        <f>Segments!O8</f>
        <v>192631</v>
      </c>
      <c r="P21" s="104">
        <f>Segments!P8</f>
        <v>199416</v>
      </c>
      <c r="Q21" s="104">
        <f>Segments!Q8</f>
        <v>215930</v>
      </c>
    </row>
    <row r="22" spans="1:17" x14ac:dyDescent="0.2">
      <c r="B22" s="46" t="s">
        <v>46</v>
      </c>
      <c r="C22" s="108" t="str">
        <f>IF(ISERROR(C21/B21-1),"--",C21/B21-1)</f>
        <v>--</v>
      </c>
      <c r="D22" s="106">
        <f>IF(ISERROR(D21/C21-1),"--",D21/C21-1)</f>
        <v>0.24182619007284423</v>
      </c>
      <c r="E22" s="106">
        <f t="shared" ref="E22" si="5">IF(ISERROR(E21/D21-1),"--",E21/D21-1)</f>
        <v>0.23449969306322904</v>
      </c>
      <c r="F22" s="106">
        <f t="shared" ref="F22" si="6">IF(ISERROR(F21/E21-1),"--",F21/E21-1)</f>
        <v>0.21306886199974207</v>
      </c>
      <c r="G22" s="106">
        <f t="shared" ref="G22" si="7">IF(ISERROR(G21/F21-1),"--",G21/F21-1)</f>
        <v>0.13446998451401337</v>
      </c>
      <c r="H22" s="106">
        <f t="shared" ref="H22" si="8">IF(ISERROR(H21/G21-1),"--",H21/G21-1)</f>
        <v>0.39732077138230526</v>
      </c>
      <c r="I22" s="106">
        <f t="shared" ref="I22" si="9">IF(ISERROR(I21/H21-1),"--",I21/H21-1)</f>
        <v>0.22387273493468185</v>
      </c>
      <c r="J22" s="106">
        <f t="shared" ref="J22" si="10">IF(ISERROR(J21/I21-1),"--",J21/I21-1)</f>
        <v>-7.6533606704907386E-2</v>
      </c>
      <c r="K22" s="106">
        <f t="shared" ref="K22" si="11">IF(ISERROR(K21/J21-1),"--",K21/J21-1)</f>
        <v>0.11179845263416577</v>
      </c>
      <c r="L22" s="106">
        <f t="shared" ref="L22" si="12">IF(ISERROR(L21/K21-1),"--",L21/K21-1)</f>
        <v>7.8079268292682968E-2</v>
      </c>
      <c r="M22" s="106">
        <f t="shared" ref="M22" si="13">IF(ISERROR(M21/L21-1),"--",M21/L21-1)</f>
        <v>9.3577670314753503E-2</v>
      </c>
      <c r="N22" s="106">
        <f t="shared" ref="N22" si="14">IF(ISERROR(N21/M21-1),"--",N21/M21-1)</f>
        <v>0.11009180243082484</v>
      </c>
      <c r="O22" s="107">
        <f t="shared" ref="O22" si="15">IF(ISERROR(O21/N21-1),"--",O21/N21-1)</f>
        <v>0.12184568077386748</v>
      </c>
      <c r="P22" s="107">
        <f t="shared" ref="P22" si="16">IF(ISERROR(P21/O21-1),"--",P21/O21-1)</f>
        <v>3.5222783456452911E-2</v>
      </c>
      <c r="Q22" s="107">
        <f t="shared" ref="Q22" si="17">IF(ISERROR(Q21/P21-1),"--",Q21/P21-1)</f>
        <v>8.2811810486620896E-2</v>
      </c>
    </row>
    <row r="23" spans="1:17" x14ac:dyDescent="0.2">
      <c r="B23" s="46" t="s">
        <v>240</v>
      </c>
      <c r="C23" s="108">
        <f>C21/C$29</f>
        <v>0.33099078556342637</v>
      </c>
      <c r="D23" s="108">
        <f t="shared" ref="D23:Q23" si="18">D21/D$29</f>
        <v>0.32343532837697719</v>
      </c>
      <c r="E23" s="108">
        <f t="shared" si="18"/>
        <v>0.30526913519166116</v>
      </c>
      <c r="F23" s="108">
        <f t="shared" si="18"/>
        <v>0.28282385878129734</v>
      </c>
      <c r="G23" s="108">
        <f t="shared" si="18"/>
        <v>0.26637126499882363</v>
      </c>
      <c r="H23" s="108">
        <f t="shared" si="18"/>
        <v>0.27045256744995649</v>
      </c>
      <c r="I23" s="108">
        <f t="shared" si="18"/>
        <v>0.27199024311334929</v>
      </c>
      <c r="J23" s="108">
        <f t="shared" si="18"/>
        <v>0.22959319666214642</v>
      </c>
      <c r="K23" s="108">
        <f t="shared" si="18"/>
        <v>0.22825926215889419</v>
      </c>
      <c r="L23" s="108">
        <f t="shared" si="18"/>
        <v>0.22252008193239634</v>
      </c>
      <c r="M23" s="108">
        <f t="shared" si="18"/>
        <v>0.21916519427744771</v>
      </c>
      <c r="N23" s="108">
        <f t="shared" si="18"/>
        <v>0.21878579610538373</v>
      </c>
      <c r="O23" s="108">
        <f t="shared" si="18"/>
        <v>0.22227671189565984</v>
      </c>
      <c r="P23" s="108">
        <f t="shared" si="18"/>
        <v>0.20893376890887488</v>
      </c>
      <c r="Q23" s="108">
        <f t="shared" si="18"/>
        <v>0.20449543334886489</v>
      </c>
    </row>
    <row r="24" spans="1:17" x14ac:dyDescent="0.2">
      <c r="C24" s="97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</row>
    <row r="25" spans="1:17" x14ac:dyDescent="0.2">
      <c r="B25" t="s">
        <v>237</v>
      </c>
      <c r="C25" s="37">
        <f>Segments!C9</f>
        <v>7880</v>
      </c>
      <c r="D25" s="104">
        <f>Segments!D9</f>
        <v>12219</v>
      </c>
      <c r="E25" s="104">
        <f>Segments!E9</f>
        <v>17459</v>
      </c>
      <c r="F25" s="104">
        <f>Segments!F9</f>
        <v>25655</v>
      </c>
      <c r="G25" s="104">
        <f>Segments!G9</f>
        <v>35026</v>
      </c>
      <c r="H25" s="104">
        <f>Segments!H9</f>
        <v>45370</v>
      </c>
      <c r="I25" s="104">
        <f>Segments!I9</f>
        <v>62202</v>
      </c>
      <c r="J25" s="104">
        <f>Segments!J9</f>
        <v>80096</v>
      </c>
      <c r="K25" s="104">
        <f>Segments!K9</f>
        <v>90757</v>
      </c>
      <c r="L25" s="104">
        <f>Segments!L9</f>
        <v>107555</v>
      </c>
      <c r="M25" s="104">
        <f>Segments!M9</f>
        <v>127628</v>
      </c>
      <c r="N25" s="104">
        <f>Segments!N9</f>
        <v>151647</v>
      </c>
      <c r="O25" s="104">
        <f>Segments!O9</f>
        <v>176580</v>
      </c>
      <c r="P25" s="104">
        <f>Segments!P9</f>
        <v>208724</v>
      </c>
      <c r="Q25" s="104">
        <f>Segments!Q9</f>
        <v>249139</v>
      </c>
    </row>
    <row r="26" spans="1:17" x14ac:dyDescent="0.2">
      <c r="B26" s="46" t="s">
        <v>46</v>
      </c>
      <c r="C26" s="108" t="str">
        <f>IF(ISERROR(C25/B25-1),"--",C25/B25-1)</f>
        <v>--</v>
      </c>
      <c r="D26" s="106">
        <f>IF(ISERROR(D25/C25-1),"--",D25/C25-1)</f>
        <v>0.55063451776649752</v>
      </c>
      <c r="E26" s="106">
        <f t="shared" ref="E26" si="19">IF(ISERROR(E25/D25-1),"--",E25/D25-1)</f>
        <v>0.42884033063262139</v>
      </c>
      <c r="F26" s="106">
        <f t="shared" ref="F26" si="20">IF(ISERROR(F25/E25-1),"--",F25/E25-1)</f>
        <v>0.46944269431238905</v>
      </c>
      <c r="G26" s="106">
        <f t="shared" ref="G26" si="21">IF(ISERROR(G25/F25-1),"--",G25/F25-1)</f>
        <v>0.36526992788930035</v>
      </c>
      <c r="H26" s="106">
        <f t="shared" ref="H26" si="22">IF(ISERROR(H25/G25-1),"--",H25/G25-1)</f>
        <v>0.29532347399074976</v>
      </c>
      <c r="I26" s="106">
        <f t="shared" ref="I26" si="23">IF(ISERROR(I25/H25-1),"--",I25/H25-1)</f>
        <v>0.37099404893101173</v>
      </c>
      <c r="J26" s="106">
        <f t="shared" ref="J26" si="24">IF(ISERROR(J25/I25-1),"--",J25/I25-1)</f>
        <v>0.28767563743931057</v>
      </c>
      <c r="K26" s="106">
        <f t="shared" ref="K26" si="25">IF(ISERROR(K25/J25-1),"--",K25/J25-1)</f>
        <v>0.13310277666799841</v>
      </c>
      <c r="L26" s="106">
        <f t="shared" ref="L26" si="26">IF(ISERROR(L25/K25-1),"--",L25/K25-1)</f>
        <v>0.18508765164119567</v>
      </c>
      <c r="M26" s="106">
        <f t="shared" ref="M26" si="27">IF(ISERROR(M25/L25-1),"--",M25/L25-1)</f>
        <v>0.18663009622983595</v>
      </c>
      <c r="N26" s="106">
        <f t="shared" ref="N26" si="28">IF(ISERROR(N25/M25-1),"--",N25/M25-1)</f>
        <v>0.1881953803240668</v>
      </c>
      <c r="O26" s="107">
        <f t="shared" ref="O26" si="29">IF(ISERROR(O25/N25-1),"--",O25/N25-1)</f>
        <v>0.16441472630516918</v>
      </c>
      <c r="P26" s="107">
        <f t="shared" ref="P26" si="30">IF(ISERROR(P25/O25-1),"--",P25/O25-1)</f>
        <v>0.1820364707214861</v>
      </c>
      <c r="Q26" s="107">
        <f t="shared" ref="Q26" si="31">IF(ISERROR(Q25/P25-1),"--",Q25/P25-1)</f>
        <v>0.19362890707345581</v>
      </c>
    </row>
    <row r="27" spans="1:17" x14ac:dyDescent="0.2">
      <c r="B27" s="46" t="s">
        <v>240</v>
      </c>
      <c r="C27" s="108">
        <f>C25/C$29</f>
        <v>7.3640730426331236E-2</v>
      </c>
      <c r="D27" s="108">
        <f t="shared" ref="D27:Q27" si="32">D25/D$29</f>
        <v>8.9854177237530058E-2</v>
      </c>
      <c r="E27" s="108">
        <f t="shared" si="32"/>
        <v>9.8158164011109481E-2</v>
      </c>
      <c r="F27" s="108">
        <f t="shared" si="32"/>
        <v>0.11016072172341093</v>
      </c>
      <c r="G27" s="108">
        <f t="shared" si="32"/>
        <v>0.12486008227518697</v>
      </c>
      <c r="H27" s="108">
        <f t="shared" si="32"/>
        <v>0.11751937502590244</v>
      </c>
      <c r="I27" s="108">
        <f t="shared" si="32"/>
        <v>0.13239482186870771</v>
      </c>
      <c r="J27" s="108">
        <f t="shared" si="32"/>
        <v>0.15583394781539467</v>
      </c>
      <c r="K27" s="108">
        <f t="shared" si="32"/>
        <v>0.15789730072983812</v>
      </c>
      <c r="L27" s="108">
        <f t="shared" si="32"/>
        <v>0.16920581581572133</v>
      </c>
      <c r="M27" s="108">
        <f t="shared" si="32"/>
        <v>0.18083537248023079</v>
      </c>
      <c r="N27" s="108">
        <f t="shared" si="32"/>
        <v>0.19322347472755141</v>
      </c>
      <c r="O27" s="108">
        <f t="shared" si="32"/>
        <v>0.20375547957771914</v>
      </c>
      <c r="P27" s="108">
        <f t="shared" si="32"/>
        <v>0.21868602309612067</v>
      </c>
      <c r="Q27" s="108">
        <f t="shared" si="32"/>
        <v>0.23594585175335916</v>
      </c>
    </row>
    <row r="28" spans="1:17" x14ac:dyDescent="0.2"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</row>
    <row r="29" spans="1:17" x14ac:dyDescent="0.2">
      <c r="B29" s="41" t="s">
        <v>31</v>
      </c>
      <c r="C29" s="98">
        <f>C17+C21+C25</f>
        <v>107006</v>
      </c>
      <c r="D29" s="98">
        <f t="shared" ref="D29:Q29" si="33">D17+D21+D25</f>
        <v>135987</v>
      </c>
      <c r="E29" s="98">
        <f t="shared" si="33"/>
        <v>177866</v>
      </c>
      <c r="F29" s="98">
        <f t="shared" si="33"/>
        <v>232887</v>
      </c>
      <c r="G29" s="98">
        <f t="shared" si="33"/>
        <v>280522</v>
      </c>
      <c r="H29" s="98">
        <f t="shared" si="33"/>
        <v>386064</v>
      </c>
      <c r="I29" s="98">
        <f t="shared" si="33"/>
        <v>469822</v>
      </c>
      <c r="J29" s="98">
        <f t="shared" si="33"/>
        <v>513983</v>
      </c>
      <c r="K29" s="98">
        <f t="shared" si="33"/>
        <v>574785</v>
      </c>
      <c r="L29" s="98">
        <f t="shared" si="33"/>
        <v>635646</v>
      </c>
      <c r="M29" s="98">
        <f t="shared" si="33"/>
        <v>705769</v>
      </c>
      <c r="N29" s="98">
        <f t="shared" si="33"/>
        <v>784827</v>
      </c>
      <c r="O29" s="98">
        <f t="shared" si="33"/>
        <v>866627</v>
      </c>
      <c r="P29" s="98">
        <f t="shared" si="33"/>
        <v>954446</v>
      </c>
      <c r="Q29" s="99">
        <f t="shared" si="33"/>
        <v>1055916</v>
      </c>
    </row>
    <row r="30" spans="1:17" x14ac:dyDescent="0.2">
      <c r="B30" s="100" t="s">
        <v>46</v>
      </c>
      <c r="C30" s="101" t="str">
        <f>IF(ISERROR(C29/B29-1),"--",C29/B29-1)</f>
        <v>--</v>
      </c>
      <c r="D30" s="102">
        <f>IF(ISERROR(D29/C29-1),"--",D29/C29-1)</f>
        <v>0.27083528026465808</v>
      </c>
      <c r="E30" s="102">
        <f t="shared" ref="E30" si="34">IF(ISERROR(E29/D29-1),"--",E29/D29-1)</f>
        <v>0.30796326119408479</v>
      </c>
      <c r="F30" s="102">
        <f t="shared" ref="F30" si="35">IF(ISERROR(F29/E29-1),"--",F29/E29-1)</f>
        <v>0.3093396152159491</v>
      </c>
      <c r="G30" s="102">
        <f t="shared" ref="G30" si="36">IF(ISERROR(G29/F29-1),"--",G29/F29-1)</f>
        <v>0.20454125820676983</v>
      </c>
      <c r="H30" s="102">
        <f t="shared" ref="H30" si="37">IF(ISERROR(H29/G29-1),"--",H29/G29-1)</f>
        <v>0.37623430604373276</v>
      </c>
      <c r="I30" s="102">
        <f t="shared" ref="I30" si="38">IF(ISERROR(I29/H29-1),"--",I29/H29-1)</f>
        <v>0.21695366571345676</v>
      </c>
      <c r="J30" s="102">
        <f t="shared" ref="J30" si="39">IF(ISERROR(J29/I29-1),"--",J29/I29-1)</f>
        <v>9.399517263985091E-2</v>
      </c>
      <c r="K30" s="102">
        <f t="shared" ref="K30" si="40">IF(ISERROR(K29/J29-1),"--",K29/J29-1)</f>
        <v>0.1182957412988368</v>
      </c>
      <c r="L30" s="102">
        <f t="shared" ref="L30" si="41">IF(ISERROR(L29/K29-1),"--",L29/K29-1)</f>
        <v>0.10588480910253395</v>
      </c>
      <c r="M30" s="102">
        <f t="shared" ref="M30" si="42">IF(ISERROR(M29/L29-1),"--",M29/L29-1)</f>
        <v>0.11031769255214385</v>
      </c>
      <c r="N30" s="102">
        <f t="shared" ref="N30" si="43">IF(ISERROR(N29/M29-1),"--",N29/M29-1)</f>
        <v>0.11201682136789803</v>
      </c>
      <c r="O30" s="102">
        <f t="shared" ref="O30" si="44">IF(ISERROR(O29/N29-1),"--",O29/N29-1)</f>
        <v>0.10422679138204982</v>
      </c>
      <c r="P30" s="102">
        <f t="shared" ref="P30" si="45">IF(ISERROR(P29/O29-1),"--",P29/O29-1)</f>
        <v>0.10133425337544288</v>
      </c>
      <c r="Q30" s="103">
        <f t="shared" ref="Q30" si="46">IF(ISERROR(Q29/P29-1),"--",Q29/P29-1)</f>
        <v>0.10631298156207891</v>
      </c>
    </row>
    <row r="31" spans="1:17" x14ac:dyDescent="0.2"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</row>
    <row r="32" spans="1:17" x14ac:dyDescent="0.2">
      <c r="A32" s="4" t="s">
        <v>1</v>
      </c>
      <c r="B32" s="9" t="s">
        <v>48</v>
      </c>
      <c r="C32" s="39">
        <v>2015</v>
      </c>
      <c r="D32" s="39">
        <v>2016</v>
      </c>
      <c r="E32" s="39">
        <v>2017</v>
      </c>
      <c r="F32" s="39">
        <v>2018</v>
      </c>
      <c r="G32" s="39">
        <v>2019</v>
      </c>
      <c r="H32" s="39">
        <v>2020</v>
      </c>
      <c r="I32" s="39">
        <v>2021</v>
      </c>
      <c r="J32" s="39">
        <v>2022</v>
      </c>
      <c r="K32" s="39">
        <v>2023</v>
      </c>
      <c r="L32" s="40">
        <v>2024</v>
      </c>
      <c r="M32" s="40">
        <v>2025</v>
      </c>
      <c r="N32" s="40">
        <v>2026</v>
      </c>
      <c r="O32" s="40">
        <v>2027</v>
      </c>
      <c r="P32" s="40">
        <v>2028</v>
      </c>
      <c r="Q32" s="40">
        <v>2029</v>
      </c>
    </row>
    <row r="33" spans="2:17" ht="5" customHeight="1" x14ac:dyDescent="0.2"/>
    <row r="34" spans="2:17" x14ac:dyDescent="0.2">
      <c r="B34" t="s">
        <v>124</v>
      </c>
      <c r="C34" s="104">
        <f>Segments!C12</f>
        <v>2751</v>
      </c>
      <c r="D34" s="104">
        <f>Segments!D12</f>
        <v>4099</v>
      </c>
      <c r="E34" s="104">
        <f>Segments!E12</f>
        <v>2837</v>
      </c>
      <c r="F34" s="104">
        <f>Segments!F12</f>
        <v>7267</v>
      </c>
      <c r="G34" s="104">
        <f>Segments!G12</f>
        <v>7033</v>
      </c>
      <c r="H34" s="104">
        <f>Segments!H12</f>
        <v>8651</v>
      </c>
      <c r="I34" s="104">
        <f>Segments!I12</f>
        <v>7271</v>
      </c>
      <c r="J34" s="104">
        <f>Segments!J12</f>
        <v>-2847</v>
      </c>
      <c r="K34" s="104">
        <f>Segments!K12</f>
        <v>14877</v>
      </c>
      <c r="L34" s="104">
        <f>Segments!L12</f>
        <v>23233.5</v>
      </c>
      <c r="M34" s="104">
        <f>Segments!M12</f>
        <v>31059.3</v>
      </c>
      <c r="N34" s="104">
        <f>Segments!N12</f>
        <v>34190</v>
      </c>
      <c r="O34" s="42">
        <f>O35*O17</f>
        <v>36853.134953225665</v>
      </c>
      <c r="P34" s="42">
        <f t="shared" ref="P34:Q34" si="47">P35*P17</f>
        <v>40475.354117593524</v>
      </c>
      <c r="Q34" s="42">
        <f t="shared" si="47"/>
        <v>43775.359513382209</v>
      </c>
    </row>
    <row r="35" spans="2:17" x14ac:dyDescent="0.2">
      <c r="B35" s="46" t="s">
        <v>47</v>
      </c>
      <c r="C35" s="106">
        <f>C34/C17</f>
        <v>4.3181390092296101E-2</v>
      </c>
      <c r="D35" s="106">
        <f t="shared" ref="D35:N35" si="48">D34/D17</f>
        <v>5.1375571849345117E-2</v>
      </c>
      <c r="E35" s="106">
        <f t="shared" si="48"/>
        <v>2.6736405616812741E-2</v>
      </c>
      <c r="F35" s="106">
        <f t="shared" si="48"/>
        <v>5.1405571353790869E-2</v>
      </c>
      <c r="G35" s="106">
        <f t="shared" si="48"/>
        <v>4.1183325232911523E-2</v>
      </c>
      <c r="H35" s="106">
        <f t="shared" si="48"/>
        <v>3.6613030192735797E-2</v>
      </c>
      <c r="I35" s="106">
        <f t="shared" si="48"/>
        <v>2.5983354357777676E-2</v>
      </c>
      <c r="J35" s="106">
        <f t="shared" si="48"/>
        <v>-9.0129162973280989E-3</v>
      </c>
      <c r="K35" s="106">
        <f t="shared" si="48"/>
        <v>4.2165020916707291E-2</v>
      </c>
      <c r="L35" s="106">
        <f t="shared" si="48"/>
        <v>6.0089694217205877E-2</v>
      </c>
      <c r="M35" s="106">
        <f t="shared" si="48"/>
        <v>7.3346305799117273E-2</v>
      </c>
      <c r="N35" s="106">
        <f t="shared" si="48"/>
        <v>7.4089162699281216E-2</v>
      </c>
      <c r="O35" s="107">
        <f>N35</f>
        <v>7.4089162699281216E-2</v>
      </c>
      <c r="P35" s="107">
        <f t="shared" ref="P35:Q35" si="49">O35</f>
        <v>7.4089162699281216E-2</v>
      </c>
      <c r="Q35" s="107">
        <f t="shared" si="49"/>
        <v>7.4089162699281216E-2</v>
      </c>
    </row>
    <row r="36" spans="2:17" x14ac:dyDescent="0.2">
      <c r="B36" s="46" t="s">
        <v>241</v>
      </c>
      <c r="C36" s="106">
        <f>C34/C$46</f>
        <v>0.60822462967057267</v>
      </c>
      <c r="D36" s="106">
        <f t="shared" ref="D36:Q36" si="50">D34/D$46</f>
        <v>0.55936135371179041</v>
      </c>
      <c r="E36" s="106">
        <f t="shared" si="50"/>
        <v>0.69094008767657089</v>
      </c>
      <c r="F36" s="106">
        <f t="shared" si="50"/>
        <v>0.58505756380323648</v>
      </c>
      <c r="G36" s="106">
        <f t="shared" si="50"/>
        <v>0.48366687297985006</v>
      </c>
      <c r="H36" s="106">
        <f t="shared" si="50"/>
        <v>0.3777894231189135</v>
      </c>
      <c r="I36" s="106">
        <f t="shared" si="50"/>
        <v>0.29225451183729251</v>
      </c>
      <c r="J36" s="106">
        <f t="shared" si="50"/>
        <v>-0.23244611365120835</v>
      </c>
      <c r="K36" s="106">
        <f t="shared" si="50"/>
        <v>0.40369586453923806</v>
      </c>
      <c r="L36" s="106">
        <f t="shared" si="50"/>
        <v>0.37310802266960247</v>
      </c>
      <c r="M36" s="106">
        <f t="shared" si="50"/>
        <v>0.39934601437652334</v>
      </c>
      <c r="N36" s="106">
        <f t="shared" si="50"/>
        <v>0.3495084494357672</v>
      </c>
      <c r="O36" s="106">
        <f t="shared" si="50"/>
        <v>0.31183187614074648</v>
      </c>
      <c r="P36" s="106">
        <f t="shared" si="50"/>
        <v>0.29578978128778427</v>
      </c>
      <c r="Q36" s="106">
        <f t="shared" si="50"/>
        <v>0.27652693961717978</v>
      </c>
    </row>
    <row r="37" spans="2:17" x14ac:dyDescent="0.2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2:17" x14ac:dyDescent="0.2">
      <c r="B38" t="s">
        <v>123</v>
      </c>
      <c r="C38" s="104">
        <f>Segments!C14</f>
        <v>-91</v>
      </c>
      <c r="D38" s="104">
        <f>Segments!D14</f>
        <v>-477</v>
      </c>
      <c r="E38" s="104">
        <f>Segments!E14</f>
        <v>-3062</v>
      </c>
      <c r="F38" s="104">
        <f>Segments!F14</f>
        <v>-2142</v>
      </c>
      <c r="G38" s="104">
        <f>Segments!G14</f>
        <v>-1693</v>
      </c>
      <c r="H38" s="104">
        <f>Segments!H14</f>
        <v>717</v>
      </c>
      <c r="I38" s="104">
        <f>Segments!I14</f>
        <v>-924</v>
      </c>
      <c r="J38" s="104">
        <f>Segments!J14</f>
        <v>-7746</v>
      </c>
      <c r="K38" s="104">
        <f>Segments!K14</f>
        <v>-2656</v>
      </c>
      <c r="L38" s="104">
        <f>Segments!L14</f>
        <v>1765.17</v>
      </c>
      <c r="M38" s="104">
        <f>Segments!M14</f>
        <v>3899.91</v>
      </c>
      <c r="N38" s="104">
        <f>Segments!N14</f>
        <v>9726</v>
      </c>
      <c r="O38" s="42">
        <f>O39*O21</f>
        <v>10911.071091206635</v>
      </c>
      <c r="P38" s="42">
        <f t="shared" ref="P38" si="51">P39*P21</f>
        <v>11295.38938553017</v>
      </c>
      <c r="Q38" s="42">
        <f t="shared" ref="Q38" si="52">Q39*Q21</f>
        <v>12230.781030697284</v>
      </c>
    </row>
    <row r="39" spans="2:17" x14ac:dyDescent="0.2">
      <c r="B39" s="46" t="s">
        <v>47</v>
      </c>
      <c r="C39" s="106">
        <f>C38/C21</f>
        <v>-2.5693150375515274E-3</v>
      </c>
      <c r="D39" s="106">
        <f t="shared" ref="D39:N39" si="53">D38/D21</f>
        <v>-1.0845099242889298E-2</v>
      </c>
      <c r="E39" s="106">
        <f t="shared" si="53"/>
        <v>-5.6393539237895279E-2</v>
      </c>
      <c r="F39" s="106">
        <f t="shared" si="53"/>
        <v>-3.2520572070567515E-2</v>
      </c>
      <c r="G39" s="106">
        <f t="shared" si="53"/>
        <v>-2.2657013235549965E-2</v>
      </c>
      <c r="H39" s="106">
        <f t="shared" si="53"/>
        <v>6.8670267785312031E-3</v>
      </c>
      <c r="I39" s="106">
        <f t="shared" si="53"/>
        <v>-7.2307824739605746E-3</v>
      </c>
      <c r="J39" s="106">
        <f t="shared" si="53"/>
        <v>-6.5640173887989692E-2</v>
      </c>
      <c r="K39" s="106">
        <f t="shared" si="53"/>
        <v>-2.0243902439024391E-2</v>
      </c>
      <c r="L39" s="106">
        <f t="shared" si="53"/>
        <v>1.247963858488165E-2</v>
      </c>
      <c r="M39" s="106">
        <f t="shared" si="53"/>
        <v>2.5212761830876649E-2</v>
      </c>
      <c r="N39" s="106">
        <f t="shared" si="53"/>
        <v>5.6642342567949262E-2</v>
      </c>
      <c r="O39" s="107">
        <f>N39</f>
        <v>5.6642342567949262E-2</v>
      </c>
      <c r="P39" s="107">
        <f t="shared" ref="P39:Q39" si="54">O39</f>
        <v>5.6642342567949262E-2</v>
      </c>
      <c r="Q39" s="107">
        <f t="shared" si="54"/>
        <v>5.6642342567949262E-2</v>
      </c>
    </row>
    <row r="40" spans="2:17" x14ac:dyDescent="0.2">
      <c r="B40" s="46" t="s">
        <v>241</v>
      </c>
      <c r="C40" s="106">
        <f>C38/C$46</f>
        <v>-2.0119389785540572E-2</v>
      </c>
      <c r="D40" s="106">
        <f t="shared" ref="D40:Q40" si="55">D38/D$46</f>
        <v>-6.5092794759825323E-2</v>
      </c>
      <c r="E40" s="106">
        <f t="shared" si="55"/>
        <v>-0.7457379444715051</v>
      </c>
      <c r="F40" s="106">
        <f t="shared" si="55"/>
        <v>-0.17244988326221722</v>
      </c>
      <c r="G40" s="106">
        <f t="shared" si="55"/>
        <v>-0.11642940650574238</v>
      </c>
      <c r="H40" s="106">
        <f t="shared" si="55"/>
        <v>3.1311410978645357E-2</v>
      </c>
      <c r="I40" s="106">
        <f t="shared" si="55"/>
        <v>-3.7139756421078016E-2</v>
      </c>
      <c r="J40" s="106">
        <f t="shared" si="55"/>
        <v>-0.63242978445460485</v>
      </c>
      <c r="K40" s="106">
        <f t="shared" si="55"/>
        <v>-7.2072072072072071E-2</v>
      </c>
      <c r="L40" s="106">
        <f t="shared" si="55"/>
        <v>2.8346959707995018E-2</v>
      </c>
      <c r="M40" s="106">
        <f t="shared" si="55"/>
        <v>5.0143226503081111E-2</v>
      </c>
      <c r="N40" s="106">
        <f t="shared" si="55"/>
        <v>9.9424369090736237E-2</v>
      </c>
      <c r="O40" s="106">
        <f t="shared" si="55"/>
        <v>9.2323754095666746E-2</v>
      </c>
      <c r="P40" s="106">
        <f t="shared" si="55"/>
        <v>8.254555960645843E-2</v>
      </c>
      <c r="Q40" s="106">
        <f t="shared" si="55"/>
        <v>7.7261283177186682E-2</v>
      </c>
    </row>
    <row r="41" spans="2:17" x14ac:dyDescent="0.2"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</row>
    <row r="42" spans="2:17" x14ac:dyDescent="0.2">
      <c r="B42" t="s">
        <v>237</v>
      </c>
      <c r="C42" s="104">
        <f>Segments!C15</f>
        <v>1863</v>
      </c>
      <c r="D42" s="104">
        <f>Segments!D15</f>
        <v>3706</v>
      </c>
      <c r="E42" s="104">
        <f>Segments!E15</f>
        <v>4331</v>
      </c>
      <c r="F42" s="104">
        <f>Segments!F15</f>
        <v>7296</v>
      </c>
      <c r="G42" s="104">
        <f>Segments!G15</f>
        <v>9201</v>
      </c>
      <c r="H42" s="104">
        <f>Segments!H15</f>
        <v>13531</v>
      </c>
      <c r="I42" s="104">
        <f>Segments!I15</f>
        <v>18532</v>
      </c>
      <c r="J42" s="104">
        <f>Segments!J15</f>
        <v>22841</v>
      </c>
      <c r="K42" s="104">
        <f>Segments!K15</f>
        <v>24631</v>
      </c>
      <c r="L42" s="104">
        <f>Segments!L15</f>
        <v>37271.5</v>
      </c>
      <c r="M42" s="104">
        <f>Segments!M15</f>
        <v>42816.2</v>
      </c>
      <c r="N42" s="104">
        <f>Segments!N15</f>
        <v>53907.1</v>
      </c>
      <c r="O42" s="104">
        <f>Segments!O15</f>
        <v>70418.5</v>
      </c>
      <c r="P42" s="104">
        <f>Segments!P15</f>
        <v>85067.5</v>
      </c>
      <c r="Q42" s="104">
        <f>Segments!Q15</f>
        <v>102298</v>
      </c>
    </row>
    <row r="43" spans="2:17" x14ac:dyDescent="0.2">
      <c r="B43" s="46" t="s">
        <v>47</v>
      </c>
      <c r="C43" s="106">
        <f>C42/C25</f>
        <v>0.23642131979695433</v>
      </c>
      <c r="D43" s="106">
        <f t="shared" ref="D43:Q43" si="56">D42/D25</f>
        <v>0.30329814223749896</v>
      </c>
      <c r="E43" s="106">
        <f t="shared" si="56"/>
        <v>0.24806689959333295</v>
      </c>
      <c r="F43" s="106">
        <f t="shared" si="56"/>
        <v>0.28438900799064509</v>
      </c>
      <c r="G43" s="106">
        <f t="shared" si="56"/>
        <v>0.26269057271740992</v>
      </c>
      <c r="H43" s="106">
        <f t="shared" si="56"/>
        <v>0.29823672029975756</v>
      </c>
      <c r="I43" s="106">
        <f t="shared" si="56"/>
        <v>0.29793254236198191</v>
      </c>
      <c r="J43" s="106">
        <f t="shared" si="56"/>
        <v>0.28517029564522572</v>
      </c>
      <c r="K43" s="106">
        <f t="shared" si="56"/>
        <v>0.27139504390845887</v>
      </c>
      <c r="L43" s="106">
        <f t="shared" si="56"/>
        <v>0.34653433127237226</v>
      </c>
      <c r="M43" s="106">
        <f t="shared" si="56"/>
        <v>0.33547654119785625</v>
      </c>
      <c r="N43" s="106">
        <f t="shared" si="56"/>
        <v>0.3554775234590859</v>
      </c>
      <c r="O43" s="107">
        <f t="shared" si="56"/>
        <v>0.39879091629856156</v>
      </c>
      <c r="P43" s="107">
        <f t="shared" si="56"/>
        <v>0.40755974396811101</v>
      </c>
      <c r="Q43" s="107">
        <f t="shared" si="56"/>
        <v>0.41060612750312075</v>
      </c>
    </row>
    <row r="44" spans="2:17" x14ac:dyDescent="0.2">
      <c r="B44" s="46" t="s">
        <v>241</v>
      </c>
      <c r="C44" s="106">
        <f>C42/C$46</f>
        <v>0.41189476011496795</v>
      </c>
      <c r="D44" s="106">
        <f t="shared" ref="D44:Q44" si="57">D42/D$46</f>
        <v>0.50573144104803491</v>
      </c>
      <c r="E44" s="106">
        <f t="shared" si="57"/>
        <v>1.0547978567949343</v>
      </c>
      <c r="F44" s="106">
        <f t="shared" si="57"/>
        <v>0.58739231945898074</v>
      </c>
      <c r="G44" s="106">
        <f t="shared" si="57"/>
        <v>0.63276253352589229</v>
      </c>
      <c r="H44" s="106">
        <f t="shared" si="57"/>
        <v>0.59089916590244118</v>
      </c>
      <c r="I44" s="106">
        <f t="shared" si="57"/>
        <v>0.74488524458378558</v>
      </c>
      <c r="J44" s="106">
        <f t="shared" si="57"/>
        <v>1.8648758981058131</v>
      </c>
      <c r="K44" s="106">
        <f t="shared" si="57"/>
        <v>0.668376207532834</v>
      </c>
      <c r="L44" s="106">
        <f t="shared" si="57"/>
        <v>0.59854501762240253</v>
      </c>
      <c r="M44" s="106">
        <f t="shared" si="57"/>
        <v>0.55051075912039549</v>
      </c>
      <c r="N44" s="106">
        <f t="shared" si="57"/>
        <v>0.55106718147349654</v>
      </c>
      <c r="O44" s="106">
        <f t="shared" si="57"/>
        <v>0.59584436976358679</v>
      </c>
      <c r="P44" s="106">
        <f t="shared" si="57"/>
        <v>0.6216646591057573</v>
      </c>
      <c r="Q44" s="106">
        <f t="shared" si="57"/>
        <v>0.64621177720563361</v>
      </c>
    </row>
    <row r="45" spans="2:17" x14ac:dyDescent="0.2"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</row>
    <row r="46" spans="2:17" x14ac:dyDescent="0.2">
      <c r="B46" s="41" t="s">
        <v>31</v>
      </c>
      <c r="C46" s="98">
        <f>C34+C38+C42</f>
        <v>4523</v>
      </c>
      <c r="D46" s="98">
        <f t="shared" ref="D46:Q46" si="58">D34+D38+D42</f>
        <v>7328</v>
      </c>
      <c r="E46" s="98">
        <f t="shared" si="58"/>
        <v>4106</v>
      </c>
      <c r="F46" s="98">
        <f t="shared" si="58"/>
        <v>12421</v>
      </c>
      <c r="G46" s="98">
        <f t="shared" si="58"/>
        <v>14541</v>
      </c>
      <c r="H46" s="98">
        <f t="shared" si="58"/>
        <v>22899</v>
      </c>
      <c r="I46" s="98">
        <f t="shared" si="58"/>
        <v>24879</v>
      </c>
      <c r="J46" s="98">
        <f t="shared" si="58"/>
        <v>12248</v>
      </c>
      <c r="K46" s="98">
        <f t="shared" si="58"/>
        <v>36852</v>
      </c>
      <c r="L46" s="98">
        <f t="shared" si="58"/>
        <v>62270.17</v>
      </c>
      <c r="M46" s="98">
        <f t="shared" si="58"/>
        <v>77775.41</v>
      </c>
      <c r="N46" s="98">
        <f t="shared" si="58"/>
        <v>97823.1</v>
      </c>
      <c r="O46" s="98">
        <f t="shared" si="58"/>
        <v>118182.7060444323</v>
      </c>
      <c r="P46" s="98">
        <f t="shared" si="58"/>
        <v>136838.2435031237</v>
      </c>
      <c r="Q46" s="99">
        <f t="shared" si="58"/>
        <v>158304.14054407948</v>
      </c>
    </row>
    <row r="47" spans="2:17" x14ac:dyDescent="0.2">
      <c r="B47" s="100" t="s">
        <v>47</v>
      </c>
      <c r="C47" s="101">
        <f>C46/C29</f>
        <v>4.2268657832271087E-2</v>
      </c>
      <c r="D47" s="101">
        <f t="shared" ref="D47:Q47" si="59">D46/D29</f>
        <v>5.3887503952583703E-2</v>
      </c>
      <c r="E47" s="101">
        <f t="shared" si="59"/>
        <v>2.3084794170892695E-2</v>
      </c>
      <c r="F47" s="101">
        <f t="shared" si="59"/>
        <v>5.3334879147397665E-2</v>
      </c>
      <c r="G47" s="101">
        <f t="shared" si="59"/>
        <v>5.1835506662579051E-2</v>
      </c>
      <c r="H47" s="101">
        <f t="shared" si="59"/>
        <v>5.9313999751336569E-2</v>
      </c>
      <c r="I47" s="101">
        <f t="shared" si="59"/>
        <v>5.2954097509269465E-2</v>
      </c>
      <c r="J47" s="101">
        <f t="shared" si="59"/>
        <v>2.3829581912242232E-2</v>
      </c>
      <c r="K47" s="101">
        <f t="shared" si="59"/>
        <v>6.4114407996033296E-2</v>
      </c>
      <c r="L47" s="101">
        <f t="shared" si="59"/>
        <v>9.7963599236052773E-2</v>
      </c>
      <c r="M47" s="101">
        <f t="shared" si="59"/>
        <v>0.1101995270407173</v>
      </c>
      <c r="N47" s="101">
        <f t="shared" si="59"/>
        <v>0.12464288308123957</v>
      </c>
      <c r="O47" s="101">
        <f t="shared" si="59"/>
        <v>0.1363709024118015</v>
      </c>
      <c r="P47" s="101">
        <f t="shared" si="59"/>
        <v>0.14336928805099891</v>
      </c>
      <c r="Q47" s="105">
        <f t="shared" si="59"/>
        <v>0.14992114954606189</v>
      </c>
    </row>
    <row r="49" spans="1:17" x14ac:dyDescent="0.2">
      <c r="A49" s="4" t="s">
        <v>1</v>
      </c>
      <c r="B49" s="9" t="s">
        <v>233</v>
      </c>
      <c r="C49" s="39">
        <v>2015</v>
      </c>
      <c r="D49" s="39">
        <v>2016</v>
      </c>
      <c r="E49" s="39">
        <v>2017</v>
      </c>
      <c r="F49" s="39">
        <v>2018</v>
      </c>
      <c r="G49" s="39">
        <v>2019</v>
      </c>
      <c r="H49" s="39">
        <v>2020</v>
      </c>
      <c r="I49" s="39">
        <v>2021</v>
      </c>
      <c r="J49" s="39">
        <v>2022</v>
      </c>
      <c r="K49" s="39">
        <v>2023</v>
      </c>
      <c r="L49" s="40">
        <v>2024</v>
      </c>
      <c r="M49" s="40">
        <v>2025</v>
      </c>
      <c r="N49" s="40">
        <v>2026</v>
      </c>
      <c r="O49" s="40">
        <v>2027</v>
      </c>
      <c r="P49" s="40">
        <v>2028</v>
      </c>
      <c r="Q49" s="40">
        <v>2029</v>
      </c>
    </row>
    <row r="50" spans="1:17" ht="5" customHeight="1" x14ac:dyDescent="0.2"/>
    <row r="51" spans="1:17" x14ac:dyDescent="0.2">
      <c r="B51" t="s">
        <v>50</v>
      </c>
      <c r="C51" s="104">
        <f>IS!C31</f>
        <v>950</v>
      </c>
      <c r="D51" s="104">
        <f>IS!D31</f>
        <v>1425</v>
      </c>
      <c r="E51" s="104">
        <f>IS!E31</f>
        <v>769</v>
      </c>
      <c r="F51" s="104">
        <f>IS!F31</f>
        <v>1197</v>
      </c>
      <c r="G51" s="104">
        <f>IS!G31</f>
        <v>2374</v>
      </c>
      <c r="H51" s="104">
        <f>IS!H31</f>
        <v>2863</v>
      </c>
      <c r="I51" s="104">
        <f>IS!I31</f>
        <v>4791</v>
      </c>
      <c r="J51" s="104">
        <f>IS!J31</f>
        <v>-3217</v>
      </c>
      <c r="K51" s="104">
        <f>IS!K31</f>
        <v>7120</v>
      </c>
      <c r="L51" s="104">
        <f>IS!L31</f>
        <v>9602</v>
      </c>
      <c r="M51" s="104"/>
      <c r="N51" s="104"/>
      <c r="O51" s="104"/>
      <c r="P51" s="104"/>
      <c r="Q51" s="104"/>
    </row>
    <row r="52" spans="1:17" x14ac:dyDescent="0.2">
      <c r="B52" s="46" t="s">
        <v>51</v>
      </c>
      <c r="C52" s="106">
        <f>IF(C51&lt;0,"--",IS!C31/IS!C30)</f>
        <v>0.60586734693877553</v>
      </c>
      <c r="D52" s="106">
        <f>IF(D51&lt;0,"--",IS!D31/IS!D30)</f>
        <v>0.36613566289825283</v>
      </c>
      <c r="E52" s="106">
        <f>IF(E51&lt;0,"--",IS!E31/IS!E30)</f>
        <v>0.20204939569101418</v>
      </c>
      <c r="F52" s="106">
        <f>IF(F51&lt;0,"--",IS!F31/IS!F30)</f>
        <v>0.10629606606873279</v>
      </c>
      <c r="G52" s="106">
        <f>IF(G51&lt;0,"--",IS!G31/IS!G30)</f>
        <v>0.16986262163709215</v>
      </c>
      <c r="H52" s="106">
        <f>IF(H51&lt;0,"--",IS!H31/IS!H30)</f>
        <v>0.1184134337000579</v>
      </c>
      <c r="I52" s="106">
        <f>IF(I51&lt;0,"--",IS!I31/IS!I30)</f>
        <v>0.12557993237398757</v>
      </c>
      <c r="J52" s="108" t="str">
        <f>IF(J51&lt;0,"--",IS!J31/IS!J30)</f>
        <v>--</v>
      </c>
      <c r="K52" s="106">
        <f>IF(K51&lt;0,"--",IS!K31/IS!K30)</f>
        <v>0.18957850733551668</v>
      </c>
      <c r="L52" s="106">
        <f>IF(L51&lt;0,"--",IS!L31/IS!L30)</f>
        <v>0.17747629521468311</v>
      </c>
      <c r="M52" s="111">
        <f>AVERAGE(H52:L52)</f>
        <v>0.15276204215606132</v>
      </c>
      <c r="N52" s="111">
        <f t="shared" ref="N52" si="60">AVERAGE(I52:M52)</f>
        <v>0.16134919427006217</v>
      </c>
      <c r="O52" s="111">
        <f t="shared" ref="O52" si="61">AVERAGE(J52:N52)</f>
        <v>0.1702915097440808</v>
      </c>
      <c r="P52" s="111">
        <f t="shared" ref="P52" si="62">AVERAGE(K52:O52)</f>
        <v>0.1702915097440808</v>
      </c>
      <c r="Q52" s="111">
        <f t="shared" ref="Q52" si="63">AVERAGE(L52:P52)</f>
        <v>0.16643411022579363</v>
      </c>
    </row>
    <row r="54" spans="1:17" x14ac:dyDescent="0.2">
      <c r="A54" s="4" t="s">
        <v>1</v>
      </c>
      <c r="B54" s="9" t="s">
        <v>243</v>
      </c>
      <c r="C54" s="39">
        <v>2015</v>
      </c>
      <c r="D54" s="39">
        <f t="shared" ref="D54:Q54" si="64">C54+1</f>
        <v>2016</v>
      </c>
      <c r="E54" s="39">
        <f t="shared" si="64"/>
        <v>2017</v>
      </c>
      <c r="F54" s="39">
        <f t="shared" si="64"/>
        <v>2018</v>
      </c>
      <c r="G54" s="39">
        <f t="shared" si="64"/>
        <v>2019</v>
      </c>
      <c r="H54" s="39">
        <f t="shared" si="64"/>
        <v>2020</v>
      </c>
      <c r="I54" s="39">
        <f t="shared" si="64"/>
        <v>2021</v>
      </c>
      <c r="J54" s="39">
        <f t="shared" si="64"/>
        <v>2022</v>
      </c>
      <c r="K54" s="39">
        <f t="shared" si="64"/>
        <v>2023</v>
      </c>
      <c r="L54" s="40">
        <f t="shared" si="64"/>
        <v>2024</v>
      </c>
      <c r="M54" s="40">
        <f t="shared" si="64"/>
        <v>2025</v>
      </c>
      <c r="N54" s="40">
        <f t="shared" si="64"/>
        <v>2026</v>
      </c>
      <c r="O54" s="40">
        <f t="shared" si="64"/>
        <v>2027</v>
      </c>
      <c r="P54" s="40">
        <f t="shared" si="64"/>
        <v>2028</v>
      </c>
      <c r="Q54" s="40">
        <f t="shared" si="64"/>
        <v>2029</v>
      </c>
    </row>
    <row r="55" spans="1:17" ht="5" customHeight="1" x14ac:dyDescent="0.2"/>
    <row r="56" spans="1:17" x14ac:dyDescent="0.2">
      <c r="B56" t="s">
        <v>54</v>
      </c>
      <c r="C56" s="37">
        <f>CFS!C12</f>
        <v>5646</v>
      </c>
      <c r="D56" s="37">
        <f>CFS!D12</f>
        <v>7482</v>
      </c>
      <c r="E56" s="37">
        <f>CFS!E12</f>
        <v>10933</v>
      </c>
      <c r="F56" s="37">
        <f>CFS!F12</f>
        <v>15341</v>
      </c>
      <c r="G56" s="37">
        <f>CFS!G12</f>
        <v>21789</v>
      </c>
      <c r="H56" s="37">
        <f>CFS!H12</f>
        <v>25251</v>
      </c>
      <c r="I56" s="37">
        <f>CFS!I12</f>
        <v>34296</v>
      </c>
      <c r="J56" s="37">
        <f>CFS!J12</f>
        <v>41921</v>
      </c>
      <c r="K56" s="37">
        <f>CFS!K12</f>
        <v>48663</v>
      </c>
      <c r="L56" s="37">
        <f>CFS!L12</f>
        <v>49673</v>
      </c>
      <c r="M56" s="110">
        <f>M57*M$29</f>
        <v>54029.981256774641</v>
      </c>
      <c r="N56" s="110">
        <f>N57*N$29</f>
        <v>61832.178815252708</v>
      </c>
      <c r="O56" s="110">
        <f t="shared" ref="N56:Q56" si="65">O57*O$29</f>
        <v>69279.715031460539</v>
      </c>
      <c r="P56" s="110">
        <f t="shared" si="65"/>
        <v>75991.021748701343</v>
      </c>
      <c r="Q56" s="110">
        <f t="shared" si="65"/>
        <v>83004.429599953422</v>
      </c>
    </row>
    <row r="57" spans="1:17" x14ac:dyDescent="0.2">
      <c r="B57" s="46" t="s">
        <v>47</v>
      </c>
      <c r="C57" s="106">
        <f>C56/C$29</f>
        <v>5.2763396445059153E-2</v>
      </c>
      <c r="D57" s="106">
        <f t="shared" ref="D57:L57" si="66">D56/D$29</f>
        <v>5.5019965143726972E-2</v>
      </c>
      <c r="E57" s="106">
        <f t="shared" si="66"/>
        <v>6.1467621692734981E-2</v>
      </c>
      <c r="F57" s="106">
        <f t="shared" si="66"/>
        <v>6.5873148780309768E-2</v>
      </c>
      <c r="G57" s="106">
        <f t="shared" si="66"/>
        <v>7.7673052380918428E-2</v>
      </c>
      <c r="H57" s="106">
        <f t="shared" si="66"/>
        <v>6.5406253885366153E-2</v>
      </c>
      <c r="I57" s="106">
        <f t="shared" si="66"/>
        <v>7.2997858763531723E-2</v>
      </c>
      <c r="J57" s="106">
        <f t="shared" si="66"/>
        <v>8.1561063303650122E-2</v>
      </c>
      <c r="K57" s="106">
        <f t="shared" si="66"/>
        <v>8.4662960933218512E-2</v>
      </c>
      <c r="L57" s="106">
        <f t="shared" si="66"/>
        <v>7.8145697447950593E-2</v>
      </c>
      <c r="M57" s="111">
        <f>AVERAGE(H57:L57)</f>
        <v>7.6554766866743423E-2</v>
      </c>
      <c r="N57" s="111">
        <f t="shared" ref="N57:Q57" si="67">AVERAGE(I57:M57)</f>
        <v>7.8784469463018869E-2</v>
      </c>
      <c r="O57" s="111">
        <f t="shared" si="67"/>
        <v>7.9941791602916298E-2</v>
      </c>
      <c r="P57" s="111">
        <f t="shared" si="67"/>
        <v>7.9617937262769542E-2</v>
      </c>
      <c r="Q57" s="111">
        <f t="shared" si="67"/>
        <v>7.8608932528679759E-2</v>
      </c>
    </row>
    <row r="58" spans="1:17" x14ac:dyDescent="0.2">
      <c r="B58" s="46" t="s">
        <v>58</v>
      </c>
      <c r="C58" s="106">
        <f>C56/C60</f>
        <v>1.2303334059707998</v>
      </c>
      <c r="D58" s="106">
        <f t="shared" ref="D58:L58" si="68">D56/D60</f>
        <v>1.1105833457028351</v>
      </c>
      <c r="E58" s="106">
        <f t="shared" si="68"/>
        <v>0.91451275616896699</v>
      </c>
      <c r="F58" s="106">
        <f t="shared" si="68"/>
        <v>1.142548596112311</v>
      </c>
      <c r="G58" s="106">
        <f t="shared" si="68"/>
        <v>1.2922721072297016</v>
      </c>
      <c r="H58" s="106">
        <f t="shared" si="68"/>
        <v>0.62907324364723471</v>
      </c>
      <c r="I58" s="106">
        <f t="shared" si="68"/>
        <v>0.56174143776718588</v>
      </c>
      <c r="J58" s="106">
        <f t="shared" si="68"/>
        <v>0.65866918061120272</v>
      </c>
      <c r="K58" s="106">
        <f t="shared" si="68"/>
        <v>0.92288873295529972</v>
      </c>
      <c r="L58" s="106">
        <f t="shared" si="68"/>
        <v>0.8332718244648728</v>
      </c>
      <c r="M58" s="46"/>
    </row>
    <row r="59" spans="1:17" x14ac:dyDescent="0.2">
      <c r="M59" s="46"/>
    </row>
    <row r="60" spans="1:17" x14ac:dyDescent="0.2">
      <c r="B60" t="s">
        <v>56</v>
      </c>
      <c r="C60" s="37">
        <f>-CFS!C27</f>
        <v>4589</v>
      </c>
      <c r="D60" s="37">
        <f>-CFS!D27</f>
        <v>6737</v>
      </c>
      <c r="E60" s="37">
        <f>-CFS!E27</f>
        <v>11955</v>
      </c>
      <c r="F60" s="37">
        <f>-CFS!F27</f>
        <v>13427</v>
      </c>
      <c r="G60" s="37">
        <f>-CFS!G27</f>
        <v>16861</v>
      </c>
      <c r="H60" s="37">
        <f>-CFS!H27</f>
        <v>40140</v>
      </c>
      <c r="I60" s="37">
        <f>-CFS!I27</f>
        <v>61053</v>
      </c>
      <c r="J60" s="37">
        <f>-CFS!J27</f>
        <v>63645</v>
      </c>
      <c r="K60" s="37">
        <f>-CFS!K27</f>
        <v>52729</v>
      </c>
      <c r="L60" s="37">
        <f>-CFS!L27</f>
        <v>59612</v>
      </c>
      <c r="M60" s="110">
        <f>M61*M$29</f>
        <v>76684.248774544845</v>
      </c>
      <c r="N60" s="110">
        <f t="shared" ref="N60:Q60" si="69">N61*N$29</f>
        <v>86008.940388153642</v>
      </c>
      <c r="O60" s="110">
        <f t="shared" si="69"/>
        <v>91444.551893519019</v>
      </c>
      <c r="P60" s="110">
        <f t="shared" si="69"/>
        <v>97215.973723983378</v>
      </c>
      <c r="Q60" s="110">
        <f t="shared" si="69"/>
        <v>109688.25821512679</v>
      </c>
    </row>
    <row r="61" spans="1:17" x14ac:dyDescent="0.2">
      <c r="B61" s="46" t="s">
        <v>47</v>
      </c>
      <c r="C61" s="106">
        <f>C60/C$29</f>
        <v>4.2885445675943407E-2</v>
      </c>
      <c r="D61" s="106">
        <f t="shared" ref="D61" si="70">D60/D$29</f>
        <v>4.9541500290468943E-2</v>
      </c>
      <c r="E61" s="106">
        <f t="shared" ref="E61" si="71">E60/E$29</f>
        <v>6.7213520290555814E-2</v>
      </c>
      <c r="F61" s="106">
        <f t="shared" ref="F61" si="72">F60/F$29</f>
        <v>5.7654570671613274E-2</v>
      </c>
      <c r="G61" s="106">
        <f t="shared" ref="G61" si="73">G60/G$29</f>
        <v>6.0105802753438235E-2</v>
      </c>
      <c r="H61" s="106">
        <f t="shared" ref="H61" si="74">H60/H$29</f>
        <v>0.10397239835882134</v>
      </c>
      <c r="I61" s="106">
        <f t="shared" ref="I61" si="75">I60/I$29</f>
        <v>0.12994921480901278</v>
      </c>
      <c r="J61" s="106">
        <f t="shared" ref="J61" si="76">J60/J$29</f>
        <v>0.12382705264571008</v>
      </c>
      <c r="K61" s="106">
        <f t="shared" ref="K61" si="77">K60/K$29</f>
        <v>9.1736910322990334E-2</v>
      </c>
      <c r="L61" s="106">
        <f t="shared" ref="L61" si="78">L60/L$29</f>
        <v>9.3781759029396866E-2</v>
      </c>
      <c r="M61" s="111">
        <f>AVERAGE(H61:L61)</f>
        <v>0.10865346703318628</v>
      </c>
      <c r="N61" s="111">
        <f t="shared" ref="N61:Q61" si="79">AVERAGE(I61:M61)</f>
        <v>0.10958968076805926</v>
      </c>
      <c r="O61" s="111">
        <f t="shared" si="79"/>
        <v>0.10551777395986857</v>
      </c>
      <c r="P61" s="111">
        <f t="shared" si="79"/>
        <v>0.10185591822270026</v>
      </c>
      <c r="Q61" s="111">
        <f t="shared" si="79"/>
        <v>0.10387971980264224</v>
      </c>
    </row>
    <row r="62" spans="1:17" x14ac:dyDescent="0.2">
      <c r="M62" s="46"/>
    </row>
    <row r="63" spans="1:17" x14ac:dyDescent="0.2">
      <c r="B63" t="s">
        <v>245</v>
      </c>
      <c r="C63" s="37">
        <f>CFS!C19</f>
        <v>2557</v>
      </c>
      <c r="D63" s="37">
        <f>CFS!D19</f>
        <v>3916</v>
      </c>
      <c r="E63" s="37">
        <f>CFS!E19</f>
        <v>-173</v>
      </c>
      <c r="F63" s="37">
        <f>CFS!F19</f>
        <v>-1043</v>
      </c>
      <c r="G63" s="37">
        <f>CFS!G19</f>
        <v>-2438</v>
      </c>
      <c r="H63" s="37">
        <f>CFS!H19</f>
        <v>13481</v>
      </c>
      <c r="I63" s="37">
        <f>CFS!I19</f>
        <v>-19611</v>
      </c>
      <c r="J63" s="37">
        <f>CFS!J19</f>
        <v>-20886</v>
      </c>
      <c r="K63" s="37">
        <f>CFS!K19</f>
        <v>-11541</v>
      </c>
      <c r="L63" s="37">
        <f>CFS!L19</f>
        <v>-6898</v>
      </c>
      <c r="M63" s="110">
        <f>M64*M$29</f>
        <v>-11064.850044354958</v>
      </c>
      <c r="N63" s="110">
        <f t="shared" ref="N63:Q63" si="80">N64*N$29</f>
        <v>-20246.246731633495</v>
      </c>
      <c r="O63" s="110">
        <f t="shared" si="80"/>
        <v>-19592.903168684414</v>
      </c>
      <c r="P63" s="110">
        <f t="shared" si="80"/>
        <v>-18137.108104416817</v>
      </c>
      <c r="Q63" s="110">
        <f t="shared" si="80"/>
        <v>-19838.073985955692</v>
      </c>
    </row>
    <row r="64" spans="1:17" x14ac:dyDescent="0.2">
      <c r="B64" s="46" t="s">
        <v>47</v>
      </c>
      <c r="C64" s="106">
        <f>C63/C$29</f>
        <v>2.3895856307122966E-2</v>
      </c>
      <c r="D64" s="106">
        <f t="shared" ref="D64" si="81">D63/D$29</f>
        <v>2.8796870289071748E-2</v>
      </c>
      <c r="E64" s="106">
        <f t="shared" ref="E64" si="82">E63/E$29</f>
        <v>-9.7264232624560065E-4</v>
      </c>
      <c r="F64" s="106">
        <f t="shared" ref="F64" si="83">F63/F$29</f>
        <v>-4.4785668586052466E-3</v>
      </c>
      <c r="G64" s="106">
        <f t="shared" ref="G64" si="84">G63/G$29</f>
        <v>-8.6909404609977117E-3</v>
      </c>
      <c r="H64" s="106">
        <f t="shared" ref="H64" si="85">H63/H$29</f>
        <v>3.4919080774172155E-2</v>
      </c>
      <c r="I64" s="106">
        <f t="shared" ref="I64" si="86">I63/I$29</f>
        <v>-4.1741340337404377E-2</v>
      </c>
      <c r="J64" s="106">
        <f t="shared" ref="J64" si="87">J63/J$29</f>
        <v>-4.0635585223635799E-2</v>
      </c>
      <c r="K64" s="106">
        <f t="shared" ref="K64" si="88">K63/K$29</f>
        <v>-2.0078812077559436E-2</v>
      </c>
      <c r="L64" s="106">
        <f t="shared" ref="L64" si="89">L63/L$29</f>
        <v>-1.0851952187223707E-2</v>
      </c>
      <c r="M64" s="111">
        <f>AVERAGE(H64:L64)</f>
        <v>-1.5677721810330232E-2</v>
      </c>
      <c r="N64" s="111">
        <f t="shared" ref="N64:Q64" si="90">AVERAGE(I64:M64)</f>
        <v>-2.5797082327230707E-2</v>
      </c>
      <c r="O64" s="111">
        <f t="shared" si="90"/>
        <v>-2.2608230725195976E-2</v>
      </c>
      <c r="P64" s="111">
        <f t="shared" si="90"/>
        <v>-1.900275982550801E-2</v>
      </c>
      <c r="Q64" s="111">
        <f t="shared" si="90"/>
        <v>-1.8787549375097728E-2</v>
      </c>
    </row>
    <row r="65" spans="1:18" x14ac:dyDescent="0.2">
      <c r="B65" s="46" t="s">
        <v>246</v>
      </c>
      <c r="C65" s="109" t="s">
        <v>53</v>
      </c>
      <c r="D65" s="106">
        <f>D63/(D29-C29)</f>
        <v>0.1351230116283082</v>
      </c>
      <c r="E65" s="106">
        <f t="shared" ref="E65:L65" si="91">E63/(E29-D29)</f>
        <v>-4.1309486854986983E-3</v>
      </c>
      <c r="F65" s="106">
        <f t="shared" si="91"/>
        <v>-1.895639846604024E-2</v>
      </c>
      <c r="G65" s="106">
        <f t="shared" si="91"/>
        <v>-5.118085441377139E-2</v>
      </c>
      <c r="H65" s="106">
        <f t="shared" si="91"/>
        <v>0.12773114020958481</v>
      </c>
      <c r="I65" s="106">
        <f t="shared" si="91"/>
        <v>-0.23413882852981208</v>
      </c>
      <c r="J65" s="106">
        <f t="shared" si="91"/>
        <v>-0.47295124657503229</v>
      </c>
      <c r="K65" s="106">
        <f t="shared" si="91"/>
        <v>-0.18981283510410843</v>
      </c>
      <c r="L65" s="106">
        <f t="shared" si="91"/>
        <v>-0.11334023430439855</v>
      </c>
    </row>
    <row r="67" spans="1:18" x14ac:dyDescent="0.2">
      <c r="A67" s="4" t="s">
        <v>1</v>
      </c>
      <c r="B67" s="5" t="s">
        <v>131</v>
      </c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</row>
    <row r="68" spans="1:18" ht="5" customHeight="1" x14ac:dyDescent="0.2"/>
    <row r="69" spans="1:18" x14ac:dyDescent="0.2">
      <c r="A69" s="4" t="s">
        <v>1</v>
      </c>
      <c r="B69" s="9" t="s">
        <v>248</v>
      </c>
      <c r="C69" s="39">
        <v>2015</v>
      </c>
      <c r="D69" s="39">
        <f t="shared" ref="D69:Q69" si="92">C69+1</f>
        <v>2016</v>
      </c>
      <c r="E69" s="39">
        <f t="shared" si="92"/>
        <v>2017</v>
      </c>
      <c r="F69" s="39">
        <f t="shared" si="92"/>
        <v>2018</v>
      </c>
      <c r="G69" s="39">
        <f t="shared" si="92"/>
        <v>2019</v>
      </c>
      <c r="H69" s="39">
        <f t="shared" si="92"/>
        <v>2020</v>
      </c>
      <c r="I69" s="39">
        <f t="shared" si="92"/>
        <v>2021</v>
      </c>
      <c r="J69" s="39">
        <f t="shared" si="92"/>
        <v>2022</v>
      </c>
      <c r="K69" s="39">
        <f t="shared" si="92"/>
        <v>2023</v>
      </c>
      <c r="L69" s="40">
        <f t="shared" si="92"/>
        <v>2024</v>
      </c>
      <c r="M69" s="40">
        <f t="shared" si="92"/>
        <v>2025</v>
      </c>
      <c r="N69" s="40">
        <f t="shared" si="92"/>
        <v>2026</v>
      </c>
      <c r="O69" s="40">
        <f t="shared" si="92"/>
        <v>2027</v>
      </c>
      <c r="P69" s="40">
        <f t="shared" si="92"/>
        <v>2028</v>
      </c>
      <c r="Q69" s="40">
        <f t="shared" si="92"/>
        <v>2029</v>
      </c>
    </row>
    <row r="70" spans="1:18" ht="5" customHeight="1" x14ac:dyDescent="0.2"/>
    <row r="71" spans="1:18" x14ac:dyDescent="0.2">
      <c r="B71" t="s">
        <v>45</v>
      </c>
      <c r="L71" s="38">
        <f>L29</f>
        <v>635646</v>
      </c>
      <c r="M71" s="38">
        <f t="shared" ref="M71:Q71" si="93">M29</f>
        <v>705769</v>
      </c>
      <c r="N71" s="38">
        <f t="shared" si="93"/>
        <v>784827</v>
      </c>
      <c r="O71" s="38">
        <f t="shared" si="93"/>
        <v>866627</v>
      </c>
      <c r="P71" s="38">
        <f t="shared" si="93"/>
        <v>954446</v>
      </c>
      <c r="Q71" s="38">
        <f t="shared" si="93"/>
        <v>1055916</v>
      </c>
      <c r="R71" s="38"/>
    </row>
    <row r="72" spans="1:18" x14ac:dyDescent="0.2">
      <c r="B72" s="46" t="s">
        <v>46</v>
      </c>
      <c r="L72" s="112">
        <f>L30</f>
        <v>0.10588480910253395</v>
      </c>
      <c r="M72" s="112">
        <f t="shared" ref="M72:Q72" si="94">M30</f>
        <v>0.11031769255214385</v>
      </c>
      <c r="N72" s="112">
        <f t="shared" si="94"/>
        <v>0.11201682136789803</v>
      </c>
      <c r="O72" s="112">
        <f t="shared" si="94"/>
        <v>0.10422679138204982</v>
      </c>
      <c r="P72" s="112">
        <f t="shared" si="94"/>
        <v>0.10133425337544288</v>
      </c>
      <c r="Q72" s="112">
        <f t="shared" si="94"/>
        <v>0.10631298156207891</v>
      </c>
      <c r="R72" s="112"/>
    </row>
    <row r="74" spans="1:18" x14ac:dyDescent="0.2">
      <c r="B74" t="s">
        <v>48</v>
      </c>
      <c r="L74" s="38">
        <f>L46</f>
        <v>62270.17</v>
      </c>
      <c r="M74" s="38">
        <f t="shared" ref="M74:Q74" si="95">M46</f>
        <v>77775.41</v>
      </c>
      <c r="N74" s="38">
        <f t="shared" si="95"/>
        <v>97823.1</v>
      </c>
      <c r="O74" s="38">
        <f t="shared" si="95"/>
        <v>118182.7060444323</v>
      </c>
      <c r="P74" s="38">
        <f t="shared" si="95"/>
        <v>136838.2435031237</v>
      </c>
      <c r="Q74" s="38">
        <f t="shared" si="95"/>
        <v>158304.14054407948</v>
      </c>
    </row>
    <row r="75" spans="1:18" x14ac:dyDescent="0.2">
      <c r="B75" s="46" t="s">
        <v>47</v>
      </c>
      <c r="L75" s="112">
        <f>L47</f>
        <v>9.7963599236052773E-2</v>
      </c>
      <c r="M75" s="112">
        <f t="shared" ref="M75:Q75" si="96">M47</f>
        <v>0.1101995270407173</v>
      </c>
      <c r="N75" s="112">
        <f t="shared" si="96"/>
        <v>0.12464288308123957</v>
      </c>
      <c r="O75" s="112">
        <f t="shared" si="96"/>
        <v>0.1363709024118015</v>
      </c>
      <c r="P75" s="112">
        <f t="shared" si="96"/>
        <v>0.14336928805099891</v>
      </c>
      <c r="Q75" s="112">
        <f t="shared" si="96"/>
        <v>0.14992114954606189</v>
      </c>
    </row>
    <row r="77" spans="1:18" x14ac:dyDescent="0.2">
      <c r="B77" t="s">
        <v>50</v>
      </c>
      <c r="L77" s="14">
        <f>L74*L78</f>
        <v>11051.479073988503</v>
      </c>
      <c r="M77" s="14">
        <f t="shared" ref="M77:Q77" si="97">M74*M78</f>
        <v>11881.130461124954</v>
      </c>
      <c r="N77" s="14">
        <f t="shared" si="97"/>
        <v>15783.67836599972</v>
      </c>
      <c r="O77" s="14">
        <f t="shared" si="97"/>
        <v>20125.51143794728</v>
      </c>
      <c r="P77" s="14">
        <f t="shared" si="97"/>
        <v>23302.39107687509</v>
      </c>
      <c r="Q77" s="14">
        <f t="shared" si="97"/>
        <v>26347.208776512849</v>
      </c>
    </row>
    <row r="78" spans="1:18" x14ac:dyDescent="0.2">
      <c r="B78" s="46" t="s">
        <v>51</v>
      </c>
      <c r="L78" s="112">
        <f>L52</f>
        <v>0.17747629521468311</v>
      </c>
      <c r="M78" s="112">
        <f t="shared" ref="M78:Q78" si="98">M52</f>
        <v>0.15276204215606132</v>
      </c>
      <c r="N78" s="112">
        <f t="shared" si="98"/>
        <v>0.16134919427006217</v>
      </c>
      <c r="O78" s="112">
        <f t="shared" si="98"/>
        <v>0.1702915097440808</v>
      </c>
      <c r="P78" s="112">
        <f t="shared" si="98"/>
        <v>0.1702915097440808</v>
      </c>
      <c r="Q78" s="112">
        <f t="shared" si="98"/>
        <v>0.16643411022579363</v>
      </c>
    </row>
    <row r="80" spans="1:18" x14ac:dyDescent="0.2">
      <c r="B80" s="43" t="s">
        <v>247</v>
      </c>
      <c r="C80" s="44"/>
      <c r="D80" s="44"/>
      <c r="E80" s="44"/>
      <c r="F80" s="44"/>
      <c r="G80" s="44"/>
      <c r="H80" s="44"/>
      <c r="I80" s="44"/>
      <c r="J80" s="44"/>
      <c r="K80" s="44"/>
      <c r="L80" s="113">
        <f>L74-L77</f>
        <v>51218.690926011492</v>
      </c>
      <c r="M80" s="113">
        <f t="shared" ref="M80:Q80" si="99">M74-M77</f>
        <v>65894.279538875053</v>
      </c>
      <c r="N80" s="113">
        <f t="shared" si="99"/>
        <v>82039.421634000289</v>
      </c>
      <c r="O80" s="113">
        <f t="shared" si="99"/>
        <v>98057.19460648502</v>
      </c>
      <c r="P80" s="113">
        <f t="shared" si="99"/>
        <v>113535.8524262486</v>
      </c>
      <c r="Q80" s="45">
        <f t="shared" si="99"/>
        <v>131956.93176756662</v>
      </c>
    </row>
    <row r="82" spans="2:17" x14ac:dyDescent="0.2">
      <c r="B82" t="s">
        <v>54</v>
      </c>
      <c r="L82" s="38">
        <f>L56</f>
        <v>49673</v>
      </c>
      <c r="M82" s="38">
        <f t="shared" ref="M82:Q82" si="100">M56</f>
        <v>54029.981256774641</v>
      </c>
      <c r="N82" s="38">
        <f t="shared" si="100"/>
        <v>61832.178815252708</v>
      </c>
      <c r="O82" s="38">
        <f t="shared" si="100"/>
        <v>69279.715031460539</v>
      </c>
      <c r="P82" s="38">
        <f t="shared" si="100"/>
        <v>75991.021748701343</v>
      </c>
      <c r="Q82" s="38">
        <f t="shared" si="100"/>
        <v>83004.429599953422</v>
      </c>
    </row>
    <row r="83" spans="2:17" x14ac:dyDescent="0.2">
      <c r="B83" s="46" t="s">
        <v>47</v>
      </c>
      <c r="L83" s="112">
        <f>L57</f>
        <v>7.8145697447950593E-2</v>
      </c>
      <c r="M83" s="112">
        <f t="shared" ref="M83:Q83" si="101">M57</f>
        <v>7.6554766866743423E-2</v>
      </c>
      <c r="N83" s="112">
        <f t="shared" si="101"/>
        <v>7.8784469463018869E-2</v>
      </c>
      <c r="O83" s="112">
        <f t="shared" si="101"/>
        <v>7.9941791602916298E-2</v>
      </c>
      <c r="P83" s="112">
        <f t="shared" si="101"/>
        <v>7.9617937262769542E-2</v>
      </c>
      <c r="Q83" s="112">
        <f t="shared" si="101"/>
        <v>7.8608932528679759E-2</v>
      </c>
    </row>
    <row r="85" spans="2:17" x14ac:dyDescent="0.2">
      <c r="B85" t="s">
        <v>56</v>
      </c>
      <c r="L85" s="38">
        <f>L60</f>
        <v>59612</v>
      </c>
      <c r="M85" s="38">
        <f t="shared" ref="M85:Q85" si="102">M60</f>
        <v>76684.248774544845</v>
      </c>
      <c r="N85" s="38">
        <f t="shared" si="102"/>
        <v>86008.940388153642</v>
      </c>
      <c r="O85" s="38">
        <f t="shared" si="102"/>
        <v>91444.551893519019</v>
      </c>
      <c r="P85" s="38">
        <f t="shared" si="102"/>
        <v>97215.973723983378</v>
      </c>
      <c r="Q85" s="38">
        <f t="shared" si="102"/>
        <v>109688.25821512679</v>
      </c>
    </row>
    <row r="86" spans="2:17" x14ac:dyDescent="0.2">
      <c r="B86" s="46" t="s">
        <v>47</v>
      </c>
      <c r="L86" s="112">
        <f>L61</f>
        <v>9.3781759029396866E-2</v>
      </c>
      <c r="M86" s="112">
        <f t="shared" ref="M86:Q86" si="103">M61</f>
        <v>0.10865346703318628</v>
      </c>
      <c r="N86" s="112">
        <f t="shared" si="103"/>
        <v>0.10958968076805926</v>
      </c>
      <c r="O86" s="112">
        <f t="shared" si="103"/>
        <v>0.10551777395986857</v>
      </c>
      <c r="P86" s="112">
        <f t="shared" si="103"/>
        <v>0.10185591822270026</v>
      </c>
      <c r="Q86" s="112">
        <f t="shared" si="103"/>
        <v>0.10387971980264224</v>
      </c>
    </row>
    <row r="88" spans="2:17" x14ac:dyDescent="0.2">
      <c r="B88" t="s">
        <v>245</v>
      </c>
      <c r="L88" s="38">
        <f>L63</f>
        <v>-6898</v>
      </c>
      <c r="M88" s="38">
        <f t="shared" ref="M88:Q88" si="104">M63</f>
        <v>-11064.850044354958</v>
      </c>
      <c r="N88" s="38">
        <f t="shared" si="104"/>
        <v>-20246.246731633495</v>
      </c>
      <c r="O88" s="38">
        <f t="shared" si="104"/>
        <v>-19592.903168684414</v>
      </c>
      <c r="P88" s="38">
        <f t="shared" si="104"/>
        <v>-18137.108104416817</v>
      </c>
      <c r="Q88" s="38">
        <f t="shared" si="104"/>
        <v>-19838.073985955692</v>
      </c>
    </row>
    <row r="89" spans="2:17" x14ac:dyDescent="0.2">
      <c r="B89" s="46" t="s">
        <v>47</v>
      </c>
      <c r="L89" s="112">
        <f>L64</f>
        <v>-1.0851952187223707E-2</v>
      </c>
      <c r="M89" s="112">
        <f t="shared" ref="M89:Q89" si="105">M64</f>
        <v>-1.5677721810330232E-2</v>
      </c>
      <c r="N89" s="112">
        <f t="shared" si="105"/>
        <v>-2.5797082327230707E-2</v>
      </c>
      <c r="O89" s="112">
        <f t="shared" si="105"/>
        <v>-2.2608230725195976E-2</v>
      </c>
      <c r="P89" s="112">
        <f t="shared" si="105"/>
        <v>-1.900275982550801E-2</v>
      </c>
      <c r="Q89" s="112">
        <f t="shared" si="105"/>
        <v>-1.8787549375097728E-2</v>
      </c>
    </row>
    <row r="91" spans="2:17" x14ac:dyDescent="0.2">
      <c r="B91" s="120" t="s">
        <v>249</v>
      </c>
      <c r="C91" s="121"/>
      <c r="D91" s="121"/>
      <c r="E91" s="121"/>
      <c r="F91" s="121"/>
      <c r="G91" s="121"/>
      <c r="H91" s="121"/>
      <c r="I91" s="121"/>
      <c r="J91" s="121"/>
      <c r="K91" s="121"/>
      <c r="L91" s="122">
        <f>L80+L82-L85-L88</f>
        <v>48177.690926011492</v>
      </c>
      <c r="M91" s="122">
        <f t="shared" ref="M91:Q91" si="106">M80+M82-M85-M88</f>
        <v>54304.862065459805</v>
      </c>
      <c r="N91" s="122">
        <f t="shared" si="106"/>
        <v>78108.906792732843</v>
      </c>
      <c r="O91" s="122">
        <f t="shared" si="106"/>
        <v>95485.260913110949</v>
      </c>
      <c r="P91" s="122">
        <f t="shared" si="106"/>
        <v>110448.00855538339</v>
      </c>
      <c r="Q91" s="123">
        <f t="shared" si="106"/>
        <v>125111.17713834897</v>
      </c>
    </row>
    <row r="92" spans="2:17" x14ac:dyDescent="0.2">
      <c r="B92" s="124" t="s">
        <v>254</v>
      </c>
      <c r="C92" s="125"/>
      <c r="D92" s="125"/>
      <c r="E92" s="125"/>
      <c r="F92" s="125"/>
      <c r="G92" s="125"/>
      <c r="H92" s="125"/>
      <c r="I92" s="125"/>
      <c r="J92" s="125"/>
      <c r="K92" s="125"/>
      <c r="L92" s="126">
        <f>(L91*L94)/(1+wacc)^L95</f>
        <v>15842.828222642123</v>
      </c>
      <c r="M92" s="126">
        <f>M91/(1+wacc)^M95</f>
        <v>50743.293230564974</v>
      </c>
      <c r="N92" s="126">
        <f>N91/(1+wacc)^N95</f>
        <v>67280.376858006071</v>
      </c>
      <c r="O92" s="126">
        <f>O91/(1+wacc)^O95</f>
        <v>75817.963770521688</v>
      </c>
      <c r="P92" s="126">
        <f>P91/(1+wacc)^P95</f>
        <v>80842.844952330386</v>
      </c>
      <c r="Q92" s="127">
        <f>Q91/(1+wacc)^Q95</f>
        <v>84416.575527752822</v>
      </c>
    </row>
    <row r="94" spans="2:17" x14ac:dyDescent="0.2">
      <c r="B94" t="s">
        <v>256</v>
      </c>
      <c r="L94" s="119">
        <f>YEARFRAC(L5,L6)</f>
        <v>0.33333333333333331</v>
      </c>
    </row>
    <row r="95" spans="2:17" x14ac:dyDescent="0.2">
      <c r="B95" t="s">
        <v>255</v>
      </c>
      <c r="L95" s="119">
        <f>L94/2</f>
        <v>0.16666666666666666</v>
      </c>
      <c r="M95" s="119">
        <f>L94+0.5</f>
        <v>0.83333333333333326</v>
      </c>
      <c r="N95" s="119">
        <f>M95+1</f>
        <v>1.8333333333333333</v>
      </c>
      <c r="O95" s="119">
        <f t="shared" ref="O95:Q95" si="107">N95+1</f>
        <v>2.833333333333333</v>
      </c>
      <c r="P95" s="119">
        <f t="shared" si="107"/>
        <v>3.833333333333333</v>
      </c>
      <c r="Q95" s="119">
        <f t="shared" si="107"/>
        <v>4.833333333333333</v>
      </c>
    </row>
    <row r="97" spans="2:17" x14ac:dyDescent="0.2">
      <c r="B97" t="s">
        <v>257</v>
      </c>
      <c r="Q97" s="14">
        <f>(Q91*(1+tgr))/(wacc-tgr)</f>
        <v>2144249.0145939817</v>
      </c>
    </row>
    <row r="98" spans="2:17" x14ac:dyDescent="0.2">
      <c r="B98" t="s">
        <v>258</v>
      </c>
      <c r="Q98" s="14">
        <f>Q97/(1+wacc)^Q95</f>
        <v>1446794.4673769628</v>
      </c>
    </row>
    <row r="100" spans="2:17" x14ac:dyDescent="0.2">
      <c r="B100" t="s">
        <v>30</v>
      </c>
      <c r="Q100" s="15">
        <f>SUM(L92:Q92,Q98)</f>
        <v>1821738.3499387808</v>
      </c>
    </row>
    <row r="101" spans="2:17" x14ac:dyDescent="0.2">
      <c r="B101" t="s">
        <v>259</v>
      </c>
      <c r="Q101" s="15">
        <f>71178+17914</f>
        <v>89092</v>
      </c>
    </row>
    <row r="102" spans="2:17" x14ac:dyDescent="0.2">
      <c r="B102" t="s">
        <v>260</v>
      </c>
      <c r="Q102" s="15">
        <v>54889</v>
      </c>
    </row>
    <row r="103" spans="2:17" x14ac:dyDescent="0.2">
      <c r="B103" t="s">
        <v>261</v>
      </c>
      <c r="Q103" s="15">
        <f>Q100+Q101-Q102</f>
        <v>1855941.3499387808</v>
      </c>
    </row>
    <row r="105" spans="2:17" x14ac:dyDescent="0.2">
      <c r="B105" t="s">
        <v>262</v>
      </c>
      <c r="Q105" s="104">
        <f>Shares!E14</f>
        <v>10876.066881000001</v>
      </c>
    </row>
    <row r="106" spans="2:17" x14ac:dyDescent="0.2">
      <c r="B106" t="s">
        <v>263</v>
      </c>
      <c r="Q106" s="36">
        <f>Q103/Q105</f>
        <v>170.6445326463583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B51-8C7E-4230-8FA4-24888184E592}">
  <dimension ref="A2:H22"/>
  <sheetViews>
    <sheetView showGridLines="0" topLeftCell="A2" zoomScale="170" zoomScaleNormal="170" workbookViewId="0">
      <selection activeCell="F22" sqref="F22"/>
    </sheetView>
  </sheetViews>
  <sheetFormatPr baseColWidth="10" defaultColWidth="8.83203125" defaultRowHeight="15" x14ac:dyDescent="0.2"/>
  <cols>
    <col min="1" max="1" width="3.6640625" customWidth="1"/>
    <col min="6" max="6" width="12.6640625" customWidth="1"/>
  </cols>
  <sheetData>
    <row r="2" spans="1:8" s="3" customFormat="1" ht="21" x14ac:dyDescent="0.25">
      <c r="B2" s="2" t="s">
        <v>222</v>
      </c>
    </row>
    <row r="4" spans="1:8" x14ac:dyDescent="0.2">
      <c r="B4" t="s">
        <v>223</v>
      </c>
    </row>
    <row r="5" spans="1:8" x14ac:dyDescent="0.2">
      <c r="B5" t="s">
        <v>224</v>
      </c>
    </row>
    <row r="7" spans="1:8" x14ac:dyDescent="0.2">
      <c r="A7" t="s">
        <v>1</v>
      </c>
      <c r="B7" s="80" t="s">
        <v>222</v>
      </c>
      <c r="C7" s="81"/>
      <c r="D7" s="81"/>
      <c r="E7" s="81"/>
      <c r="F7" s="81"/>
    </row>
    <row r="8" spans="1:8" x14ac:dyDescent="0.2">
      <c r="B8" t="s">
        <v>225</v>
      </c>
      <c r="F8" s="82">
        <v>1873000</v>
      </c>
    </row>
    <row r="9" spans="1:8" x14ac:dyDescent="0.2">
      <c r="B9" t="s">
        <v>226</v>
      </c>
      <c r="F9" s="83">
        <f>F8/$F$20</f>
        <v>0.97152896250769627</v>
      </c>
    </row>
    <row r="10" spans="1:8" x14ac:dyDescent="0.2">
      <c r="B10" t="s">
        <v>227</v>
      </c>
      <c r="F10" s="84">
        <f>F11+F12*F13</f>
        <v>8.5779999999999995E-2</v>
      </c>
    </row>
    <row r="11" spans="1:8" x14ac:dyDescent="0.2">
      <c r="B11" t="s">
        <v>228</v>
      </c>
      <c r="F11" s="85">
        <v>3.909E-2</v>
      </c>
    </row>
    <row r="12" spans="1:8" x14ac:dyDescent="0.2">
      <c r="B12" t="s">
        <v>229</v>
      </c>
      <c r="F12" s="86">
        <v>1.1499999999999999</v>
      </c>
    </row>
    <row r="13" spans="1:8" x14ac:dyDescent="0.2">
      <c r="B13" t="s">
        <v>230</v>
      </c>
      <c r="F13" s="85">
        <v>4.0599999999999997E-2</v>
      </c>
      <c r="H13" s="87"/>
    </row>
    <row r="15" spans="1:8" x14ac:dyDescent="0.2">
      <c r="B15" t="s">
        <v>29</v>
      </c>
      <c r="F15" s="88">
        <v>54889</v>
      </c>
    </row>
    <row r="16" spans="1:8" x14ac:dyDescent="0.2">
      <c r="B16" t="s">
        <v>231</v>
      </c>
      <c r="F16" s="83">
        <f>F15/$F$20</f>
        <v>2.8471037492303758E-2</v>
      </c>
    </row>
    <row r="17" spans="1:7" x14ac:dyDescent="0.2">
      <c r="B17" t="s">
        <v>232</v>
      </c>
      <c r="F17" s="85">
        <f>1233*2/F15</f>
        <v>4.4927034560658781E-2</v>
      </c>
      <c r="G17" s="114"/>
    </row>
    <row r="18" spans="1:7" x14ac:dyDescent="0.2">
      <c r="B18" t="s">
        <v>233</v>
      </c>
      <c r="F18" s="85">
        <f>DCF!L52</f>
        <v>0.17747629521468311</v>
      </c>
    </row>
    <row r="20" spans="1:7" x14ac:dyDescent="0.2">
      <c r="B20" t="s">
        <v>31</v>
      </c>
      <c r="F20" s="82">
        <f>F8+F15</f>
        <v>1927889</v>
      </c>
    </row>
    <row r="22" spans="1:7" x14ac:dyDescent="0.2">
      <c r="A22" t="s">
        <v>1</v>
      </c>
      <c r="B22" t="s">
        <v>222</v>
      </c>
      <c r="F22" s="84">
        <f>F9*F10+(F16*F17*(1-F18))</f>
        <v>8.4389860337395248E-2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531F-2658-495D-9460-CA708F56769D}">
  <dimension ref="A2:G30"/>
  <sheetViews>
    <sheetView showGridLines="0" zoomScale="170" zoomScaleNormal="170" workbookViewId="0"/>
  </sheetViews>
  <sheetFormatPr baseColWidth="10" defaultColWidth="8.83203125" defaultRowHeight="15" x14ac:dyDescent="0.2"/>
  <cols>
    <col min="1" max="1" width="3.5" style="4" customWidth="1"/>
    <col min="2" max="2" width="36.5" bestFit="1" customWidth="1"/>
    <col min="3" max="5" width="15.83203125" customWidth="1"/>
  </cols>
  <sheetData>
    <row r="2" spans="1:5" s="3" customFormat="1" ht="21" x14ac:dyDescent="0.25">
      <c r="A2" s="1"/>
      <c r="B2" s="2" t="s">
        <v>32</v>
      </c>
    </row>
    <row r="3" spans="1:5" x14ac:dyDescent="0.2">
      <c r="B3" s="10"/>
    </row>
    <row r="4" spans="1:5" x14ac:dyDescent="0.2">
      <c r="A4" s="4" t="s">
        <v>1</v>
      </c>
      <c r="B4" s="16" t="s">
        <v>33</v>
      </c>
      <c r="C4" s="17"/>
      <c r="D4" s="17"/>
      <c r="E4" s="17"/>
    </row>
    <row r="5" spans="1:5" ht="5.25" customHeight="1" x14ac:dyDescent="0.2">
      <c r="B5" s="18"/>
      <c r="C5" s="19"/>
      <c r="D5" s="19"/>
      <c r="E5" s="19"/>
    </row>
    <row r="6" spans="1:5" x14ac:dyDescent="0.2">
      <c r="B6" s="20" t="s">
        <v>264</v>
      </c>
      <c r="E6" s="11">
        <v>178.5</v>
      </c>
    </row>
    <row r="7" spans="1:5" x14ac:dyDescent="0.2">
      <c r="B7" s="21" t="s">
        <v>34</v>
      </c>
      <c r="E7" s="12">
        <v>10495.566881000001</v>
      </c>
    </row>
    <row r="8" spans="1:5" x14ac:dyDescent="0.2">
      <c r="B8" s="20" t="s">
        <v>35</v>
      </c>
      <c r="E8" s="22">
        <f>E30</f>
        <v>0</v>
      </c>
    </row>
    <row r="9" spans="1:5" x14ac:dyDescent="0.2">
      <c r="B9" s="20" t="s">
        <v>36</v>
      </c>
      <c r="E9" s="23">
        <f>SUMPRODUCT(D19:D28,E19:E28)</f>
        <v>0</v>
      </c>
    </row>
    <row r="10" spans="1:5" x14ac:dyDescent="0.2">
      <c r="B10" s="20" t="s">
        <v>37</v>
      </c>
      <c r="E10" s="23">
        <f>E9/E6</f>
        <v>0</v>
      </c>
    </row>
    <row r="11" spans="1:5" x14ac:dyDescent="0.2">
      <c r="B11" s="20" t="s">
        <v>38</v>
      </c>
      <c r="E11" s="23">
        <f>E8-E10</f>
        <v>0</v>
      </c>
    </row>
    <row r="12" spans="1:5" x14ac:dyDescent="0.2">
      <c r="B12" s="20" t="s">
        <v>39</v>
      </c>
      <c r="E12" s="12">
        <v>380.5</v>
      </c>
    </row>
    <row r="13" spans="1:5" x14ac:dyDescent="0.2">
      <c r="B13" s="20"/>
      <c r="E13" s="24"/>
    </row>
    <row r="14" spans="1:5" x14ac:dyDescent="0.2">
      <c r="B14" s="25" t="s">
        <v>40</v>
      </c>
      <c r="D14" s="26"/>
      <c r="E14" s="27">
        <f>E7+E11+E12</f>
        <v>10876.066881000001</v>
      </c>
    </row>
    <row r="15" spans="1:5" x14ac:dyDescent="0.2">
      <c r="B15" s="25"/>
      <c r="D15" s="26"/>
      <c r="E15" s="23"/>
    </row>
    <row r="16" spans="1:5" x14ac:dyDescent="0.2">
      <c r="A16" s="4" t="s">
        <v>1</v>
      </c>
      <c r="B16" s="16" t="s">
        <v>41</v>
      </c>
      <c r="C16" s="17"/>
      <c r="D16" s="17"/>
      <c r="E16" s="17"/>
    </row>
    <row r="17" spans="1:7" ht="5.25" customHeight="1" x14ac:dyDescent="0.2">
      <c r="B17" s="18"/>
      <c r="C17" s="19"/>
      <c r="D17" s="19"/>
      <c r="E17" s="19"/>
    </row>
    <row r="18" spans="1:7" x14ac:dyDescent="0.2">
      <c r="C18" s="13" t="s">
        <v>42</v>
      </c>
      <c r="D18" s="13" t="s">
        <v>43</v>
      </c>
      <c r="E18" s="13" t="s">
        <v>44</v>
      </c>
    </row>
    <row r="19" spans="1:7" x14ac:dyDescent="0.2">
      <c r="B19" s="28">
        <v>1</v>
      </c>
      <c r="C19" s="12"/>
      <c r="D19" s="11"/>
      <c r="E19" s="29">
        <f t="shared" ref="E19:E28" si="0">IF(D19&lt;$E$6,C19)</f>
        <v>0</v>
      </c>
      <c r="G19" s="36"/>
    </row>
    <row r="20" spans="1:7" x14ac:dyDescent="0.2">
      <c r="B20" s="28">
        <f t="shared" ref="B20:B28" si="1">B19+1</f>
        <v>2</v>
      </c>
      <c r="C20" s="12"/>
      <c r="D20" s="12"/>
      <c r="E20" s="29">
        <f t="shared" si="0"/>
        <v>0</v>
      </c>
    </row>
    <row r="21" spans="1:7" x14ac:dyDescent="0.2">
      <c r="B21" s="28">
        <f t="shared" si="1"/>
        <v>3</v>
      </c>
      <c r="C21" s="12"/>
      <c r="D21" s="12"/>
      <c r="E21" s="29">
        <f t="shared" si="0"/>
        <v>0</v>
      </c>
    </row>
    <row r="22" spans="1:7" x14ac:dyDescent="0.2">
      <c r="B22" s="28">
        <f t="shared" si="1"/>
        <v>4</v>
      </c>
      <c r="C22" s="12"/>
      <c r="D22" s="12"/>
      <c r="E22" s="29">
        <f t="shared" si="0"/>
        <v>0</v>
      </c>
    </row>
    <row r="23" spans="1:7" x14ac:dyDescent="0.2">
      <c r="B23" s="28">
        <f t="shared" si="1"/>
        <v>5</v>
      </c>
      <c r="C23" s="12"/>
      <c r="D23" s="12"/>
      <c r="E23" s="29">
        <f t="shared" si="0"/>
        <v>0</v>
      </c>
    </row>
    <row r="24" spans="1:7" x14ac:dyDescent="0.2">
      <c r="B24" s="28">
        <f t="shared" si="1"/>
        <v>6</v>
      </c>
      <c r="C24" s="12"/>
      <c r="D24" s="12"/>
      <c r="E24" s="29">
        <f t="shared" si="0"/>
        <v>0</v>
      </c>
    </row>
    <row r="25" spans="1:7" x14ac:dyDescent="0.2">
      <c r="B25" s="28">
        <f t="shared" si="1"/>
        <v>7</v>
      </c>
      <c r="C25" s="12"/>
      <c r="D25" s="12"/>
      <c r="E25" s="29">
        <f t="shared" si="0"/>
        <v>0</v>
      </c>
    </row>
    <row r="26" spans="1:7" x14ac:dyDescent="0.2">
      <c r="B26" s="28">
        <f t="shared" si="1"/>
        <v>8</v>
      </c>
      <c r="C26" s="12"/>
      <c r="D26" s="12"/>
      <c r="E26" s="29">
        <f t="shared" si="0"/>
        <v>0</v>
      </c>
    </row>
    <row r="27" spans="1:7" x14ac:dyDescent="0.2">
      <c r="B27" s="28">
        <f t="shared" si="1"/>
        <v>9</v>
      </c>
      <c r="C27" s="12"/>
      <c r="D27" s="12"/>
      <c r="E27" s="29">
        <f t="shared" si="0"/>
        <v>0</v>
      </c>
    </row>
    <row r="28" spans="1:7" x14ac:dyDescent="0.2">
      <c r="B28" s="28">
        <f t="shared" si="1"/>
        <v>10</v>
      </c>
      <c r="C28" s="12"/>
      <c r="D28" s="12"/>
      <c r="E28" s="29">
        <f t="shared" si="0"/>
        <v>0</v>
      </c>
    </row>
    <row r="29" spans="1:7" ht="5.25" customHeight="1" x14ac:dyDescent="0.2">
      <c r="B29" s="30"/>
      <c r="C29" s="31"/>
      <c r="D29" s="31"/>
      <c r="E29" s="32"/>
    </row>
    <row r="30" spans="1:7" x14ac:dyDescent="0.2">
      <c r="A30" s="4" t="s">
        <v>1</v>
      </c>
      <c r="B30" s="33" t="s">
        <v>31</v>
      </c>
      <c r="C30" s="34"/>
      <c r="D30" s="34"/>
      <c r="E30" s="35">
        <f>SUM(E19:E28)</f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0D34-E0B3-44F1-8115-1ACA7B471D09}">
  <sheetPr>
    <outlinePr summaryBelow="0" summaryRight="0"/>
  </sheetPr>
  <dimension ref="A1:Q21"/>
  <sheetViews>
    <sheetView topLeftCell="D1" zoomScale="170" zoomScaleNormal="170" workbookViewId="0">
      <selection activeCell="H1" sqref="H1"/>
    </sheetView>
  </sheetViews>
  <sheetFormatPr baseColWidth="10" defaultColWidth="9.1640625" defaultRowHeight="15" customHeight="1" outlineLevelRow="1" x14ac:dyDescent="0.15"/>
  <cols>
    <col min="1" max="1" width="23" style="47" customWidth="1"/>
    <col min="2" max="2" width="7.6640625" style="47" customWidth="1"/>
    <col min="3" max="11" width="7.83203125" style="47" customWidth="1"/>
    <col min="12" max="16" width="8.83203125" style="47" customWidth="1"/>
    <col min="17" max="17" width="9.5" style="47" customWidth="1"/>
    <col min="18" max="16384" width="9.1640625" style="47"/>
  </cols>
  <sheetData>
    <row r="1" spans="1:17" ht="15" customHeight="1" x14ac:dyDescent="0.15">
      <c r="A1" s="55" t="s">
        <v>121</v>
      </c>
    </row>
    <row r="2" spans="1:17" ht="15" customHeight="1" x14ac:dyDescent="0.15">
      <c r="A2" s="47" t="s">
        <v>130</v>
      </c>
    </row>
    <row r="3" spans="1:17" ht="15" customHeight="1" x14ac:dyDescent="0.15">
      <c r="A3" s="54"/>
      <c r="B3" s="54" t="s">
        <v>119</v>
      </c>
      <c r="C3" s="54" t="s">
        <v>118</v>
      </c>
      <c r="D3" s="54" t="s">
        <v>117</v>
      </c>
      <c r="E3" s="54" t="s">
        <v>116</v>
      </c>
      <c r="F3" s="54" t="s">
        <v>115</v>
      </c>
      <c r="G3" s="54" t="s">
        <v>114</v>
      </c>
      <c r="H3" s="54" t="s">
        <v>113</v>
      </c>
      <c r="I3" s="54" t="s">
        <v>112</v>
      </c>
      <c r="J3" s="54" t="s">
        <v>111</v>
      </c>
      <c r="K3" s="54" t="s">
        <v>110</v>
      </c>
      <c r="L3" s="54" t="s">
        <v>109</v>
      </c>
      <c r="M3" s="54" t="s">
        <v>108</v>
      </c>
      <c r="N3" s="54" t="s">
        <v>107</v>
      </c>
      <c r="O3" s="54" t="s">
        <v>106</v>
      </c>
      <c r="P3" s="54" t="s">
        <v>105</v>
      </c>
      <c r="Q3" s="54" t="s">
        <v>104</v>
      </c>
    </row>
    <row r="4" spans="1:17" ht="15" customHeight="1" x14ac:dyDescent="0.15">
      <c r="A4" s="54"/>
      <c r="B4" s="54" t="s">
        <v>103</v>
      </c>
      <c r="C4" s="54" t="s">
        <v>102</v>
      </c>
      <c r="D4" s="54" t="s">
        <v>101</v>
      </c>
      <c r="E4" s="54" t="s">
        <v>100</v>
      </c>
      <c r="F4" s="54" t="s">
        <v>99</v>
      </c>
      <c r="G4" s="54" t="s">
        <v>98</v>
      </c>
      <c r="H4" s="54" t="s">
        <v>97</v>
      </c>
      <c r="I4" s="54" t="s">
        <v>96</v>
      </c>
      <c r="J4" s="54" t="s">
        <v>95</v>
      </c>
      <c r="K4" s="54" t="s">
        <v>94</v>
      </c>
      <c r="L4" s="54" t="s">
        <v>93</v>
      </c>
      <c r="M4" s="54" t="s">
        <v>92</v>
      </c>
      <c r="N4" s="54" t="s">
        <v>91</v>
      </c>
      <c r="O4" s="54" t="s">
        <v>90</v>
      </c>
      <c r="P4" s="54" t="s">
        <v>89</v>
      </c>
      <c r="Q4" s="54" t="s">
        <v>88</v>
      </c>
    </row>
    <row r="5" spans="1:17" ht="15" customHeight="1" x14ac:dyDescent="0.15">
      <c r="A5" s="91" t="s">
        <v>129</v>
      </c>
      <c r="B5" s="92">
        <v>88988</v>
      </c>
      <c r="C5" s="92">
        <v>107006</v>
      </c>
      <c r="D5" s="92">
        <v>135987</v>
      </c>
      <c r="E5" s="92">
        <v>177866</v>
      </c>
      <c r="F5" s="92">
        <v>232887</v>
      </c>
      <c r="G5" s="92">
        <v>280522</v>
      </c>
      <c r="H5" s="92">
        <v>386064</v>
      </c>
      <c r="I5" s="92">
        <v>469822</v>
      </c>
      <c r="J5" s="92">
        <v>513983</v>
      </c>
      <c r="K5" s="92">
        <v>574785</v>
      </c>
      <c r="L5" s="92">
        <v>635548</v>
      </c>
      <c r="M5" s="92">
        <v>704509</v>
      </c>
      <c r="N5" s="92">
        <v>779688</v>
      </c>
      <c r="O5" s="92">
        <v>858282</v>
      </c>
      <c r="P5" s="92">
        <v>942468</v>
      </c>
      <c r="Q5" s="92">
        <v>1029190</v>
      </c>
    </row>
    <row r="6" spans="1:17" ht="15" customHeight="1" collapsed="1" x14ac:dyDescent="0.15">
      <c r="A6" s="50" t="s">
        <v>124</v>
      </c>
      <c r="B6" s="48">
        <v>55469</v>
      </c>
      <c r="C6" s="48">
        <v>63708</v>
      </c>
      <c r="D6" s="48">
        <v>79785</v>
      </c>
      <c r="E6" s="48">
        <v>106110</v>
      </c>
      <c r="F6" s="48">
        <v>141366</v>
      </c>
      <c r="G6" s="48">
        <v>170773</v>
      </c>
      <c r="H6" s="48">
        <v>236282</v>
      </c>
      <c r="I6" s="48">
        <v>279833</v>
      </c>
      <c r="J6" s="48">
        <v>315880</v>
      </c>
      <c r="K6" s="48">
        <v>352828</v>
      </c>
      <c r="L6" s="48">
        <v>386647</v>
      </c>
      <c r="M6" s="48">
        <v>423461</v>
      </c>
      <c r="N6" s="48">
        <v>461471</v>
      </c>
      <c r="O6" s="48">
        <v>497416</v>
      </c>
      <c r="P6" s="48">
        <v>546306</v>
      </c>
      <c r="Q6" s="48">
        <v>590847</v>
      </c>
    </row>
    <row r="7" spans="1:17" ht="15" hidden="1" customHeight="1" outlineLevel="1" x14ac:dyDescent="0.15">
      <c r="A7" s="57" t="s">
        <v>128</v>
      </c>
      <c r="B7" s="89" t="s">
        <v>85</v>
      </c>
      <c r="C7" s="89" t="s">
        <v>85</v>
      </c>
      <c r="D7" s="53">
        <v>1318</v>
      </c>
      <c r="E7" s="89" t="s">
        <v>85</v>
      </c>
      <c r="F7" s="89" t="s">
        <v>85</v>
      </c>
      <c r="G7" s="89" t="s">
        <v>85</v>
      </c>
      <c r="H7" s="89" t="s">
        <v>85</v>
      </c>
      <c r="I7" s="89" t="s">
        <v>85</v>
      </c>
      <c r="J7" s="53">
        <v>4247</v>
      </c>
      <c r="K7" s="89" t="s">
        <v>85</v>
      </c>
      <c r="L7" s="53">
        <v>5380</v>
      </c>
      <c r="M7" s="89" t="s">
        <v>85</v>
      </c>
      <c r="N7" s="89" t="s">
        <v>85</v>
      </c>
      <c r="O7" s="89" t="s">
        <v>85</v>
      </c>
      <c r="P7" s="89" t="s">
        <v>85</v>
      </c>
      <c r="Q7" s="89" t="s">
        <v>85</v>
      </c>
    </row>
    <row r="8" spans="1:17" ht="15" customHeight="1" x14ac:dyDescent="0.15">
      <c r="A8" s="52" t="s">
        <v>123</v>
      </c>
      <c r="B8" s="53">
        <v>33519</v>
      </c>
      <c r="C8" s="53">
        <v>35418</v>
      </c>
      <c r="D8" s="53">
        <v>43983</v>
      </c>
      <c r="E8" s="53">
        <v>54297</v>
      </c>
      <c r="F8" s="53">
        <v>65866</v>
      </c>
      <c r="G8" s="53">
        <v>74723</v>
      </c>
      <c r="H8" s="53">
        <v>104412</v>
      </c>
      <c r="I8" s="53">
        <v>127787</v>
      </c>
      <c r="J8" s="53">
        <v>118007</v>
      </c>
      <c r="K8" s="53">
        <v>131200</v>
      </c>
      <c r="L8" s="53">
        <v>141444</v>
      </c>
      <c r="M8" s="53">
        <v>154680</v>
      </c>
      <c r="N8" s="53">
        <v>171709</v>
      </c>
      <c r="O8" s="53">
        <v>192631</v>
      </c>
      <c r="P8" s="53">
        <v>199416</v>
      </c>
      <c r="Q8" s="53">
        <v>215930</v>
      </c>
    </row>
    <row r="9" spans="1:17" ht="15" customHeight="1" x14ac:dyDescent="0.15">
      <c r="A9" s="50" t="s">
        <v>122</v>
      </c>
      <c r="B9" s="48" t="s">
        <v>85</v>
      </c>
      <c r="C9" s="48">
        <v>7880</v>
      </c>
      <c r="D9" s="48">
        <v>12219</v>
      </c>
      <c r="E9" s="48">
        <v>17459</v>
      </c>
      <c r="F9" s="48">
        <v>25655</v>
      </c>
      <c r="G9" s="48">
        <v>35026</v>
      </c>
      <c r="H9" s="48">
        <v>45370</v>
      </c>
      <c r="I9" s="48">
        <v>62202</v>
      </c>
      <c r="J9" s="48">
        <v>80096</v>
      </c>
      <c r="K9" s="48">
        <v>90757</v>
      </c>
      <c r="L9" s="48">
        <v>107555</v>
      </c>
      <c r="M9" s="48">
        <v>127628</v>
      </c>
      <c r="N9" s="48">
        <v>151647</v>
      </c>
      <c r="O9" s="48">
        <v>176580</v>
      </c>
      <c r="P9" s="48">
        <v>208724</v>
      </c>
      <c r="Q9" s="48">
        <v>249139</v>
      </c>
    </row>
    <row r="10" spans="1:17" ht="15" customHeight="1" x14ac:dyDescent="0.15">
      <c r="A10" s="52"/>
      <c r="B10" s="89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</row>
    <row r="11" spans="1:17" ht="15" customHeight="1" x14ac:dyDescent="0.15">
      <c r="A11" s="93" t="s">
        <v>127</v>
      </c>
      <c r="B11" s="94">
        <v>178</v>
      </c>
      <c r="C11" s="94">
        <v>2233</v>
      </c>
      <c r="D11" s="94">
        <v>4186</v>
      </c>
      <c r="E11" s="94">
        <v>4106</v>
      </c>
      <c r="F11" s="94">
        <v>12421</v>
      </c>
      <c r="G11" s="94">
        <v>14541</v>
      </c>
      <c r="H11" s="94">
        <v>22899</v>
      </c>
      <c r="I11" s="94">
        <v>24879</v>
      </c>
      <c r="J11" s="94">
        <v>12248</v>
      </c>
      <c r="K11" s="94">
        <v>36852</v>
      </c>
      <c r="L11" s="94">
        <v>62364.9</v>
      </c>
      <c r="M11" s="94">
        <v>76519.399999999994</v>
      </c>
      <c r="N11" s="94">
        <v>95065</v>
      </c>
      <c r="O11" s="94">
        <v>119029</v>
      </c>
      <c r="P11" s="94">
        <v>143146</v>
      </c>
      <c r="Q11" s="94">
        <v>174540</v>
      </c>
    </row>
    <row r="12" spans="1:17" ht="15" customHeight="1" collapsed="1" x14ac:dyDescent="0.15">
      <c r="A12" s="52" t="s">
        <v>124</v>
      </c>
      <c r="B12" s="53">
        <v>2105</v>
      </c>
      <c r="C12" s="53">
        <v>2751</v>
      </c>
      <c r="D12" s="53">
        <v>4099</v>
      </c>
      <c r="E12" s="53">
        <v>2837</v>
      </c>
      <c r="F12" s="53">
        <v>7267</v>
      </c>
      <c r="G12" s="53">
        <v>7033</v>
      </c>
      <c r="H12" s="53">
        <v>8651</v>
      </c>
      <c r="I12" s="53">
        <v>7271</v>
      </c>
      <c r="J12" s="51">
        <v>-2847</v>
      </c>
      <c r="K12" s="53">
        <v>14877</v>
      </c>
      <c r="L12" s="53">
        <v>23233.5</v>
      </c>
      <c r="M12" s="53">
        <v>31059.3</v>
      </c>
      <c r="N12" s="53">
        <v>34190</v>
      </c>
      <c r="O12" s="89" t="s">
        <v>85</v>
      </c>
      <c r="P12" s="89" t="s">
        <v>85</v>
      </c>
      <c r="Q12" s="89" t="s">
        <v>85</v>
      </c>
    </row>
    <row r="13" spans="1:17" ht="15" hidden="1" customHeight="1" outlineLevel="1" x14ac:dyDescent="0.15">
      <c r="A13" s="56" t="s">
        <v>126</v>
      </c>
      <c r="B13" s="90" t="s">
        <v>85</v>
      </c>
      <c r="C13" s="90" t="s">
        <v>85</v>
      </c>
      <c r="D13" s="90" t="s">
        <v>85</v>
      </c>
      <c r="E13" s="90" t="s">
        <v>85</v>
      </c>
      <c r="F13" s="90" t="s">
        <v>85</v>
      </c>
      <c r="G13" s="90" t="s">
        <v>85</v>
      </c>
      <c r="H13" s="90" t="s">
        <v>85</v>
      </c>
      <c r="I13" s="90" t="s">
        <v>85</v>
      </c>
      <c r="J13" s="49">
        <v>-2847</v>
      </c>
      <c r="K13" s="90" t="s">
        <v>85</v>
      </c>
      <c r="L13" s="90" t="s">
        <v>85</v>
      </c>
      <c r="M13" s="90" t="s">
        <v>85</v>
      </c>
      <c r="N13" s="90" t="s">
        <v>85</v>
      </c>
      <c r="O13" s="90" t="s">
        <v>85</v>
      </c>
      <c r="P13" s="90" t="s">
        <v>85</v>
      </c>
      <c r="Q13" s="90" t="s">
        <v>85</v>
      </c>
    </row>
    <row r="14" spans="1:17" ht="15" customHeight="1" x14ac:dyDescent="0.15">
      <c r="A14" s="50" t="s">
        <v>123</v>
      </c>
      <c r="B14" s="90">
        <v>-297</v>
      </c>
      <c r="C14" s="48">
        <v>-91</v>
      </c>
      <c r="D14" s="48">
        <v>-477</v>
      </c>
      <c r="E14" s="48">
        <v>-3062</v>
      </c>
      <c r="F14" s="48">
        <v>-2142</v>
      </c>
      <c r="G14" s="48">
        <v>-1693</v>
      </c>
      <c r="H14" s="48">
        <v>717</v>
      </c>
      <c r="I14" s="48">
        <v>-924</v>
      </c>
      <c r="J14" s="48">
        <v>-7746</v>
      </c>
      <c r="K14" s="48">
        <v>-2656</v>
      </c>
      <c r="L14" s="48">
        <v>1765.17</v>
      </c>
      <c r="M14" s="48">
        <v>3899.91</v>
      </c>
      <c r="N14" s="48">
        <v>9726</v>
      </c>
      <c r="O14" s="48" t="s">
        <v>85</v>
      </c>
      <c r="P14" s="48" t="s">
        <v>85</v>
      </c>
      <c r="Q14" s="48" t="s">
        <v>85</v>
      </c>
    </row>
    <row r="15" spans="1:17" ht="15" customHeight="1" collapsed="1" x14ac:dyDescent="0.15">
      <c r="A15" s="52" t="s">
        <v>122</v>
      </c>
      <c r="B15" s="53" t="s">
        <v>85</v>
      </c>
      <c r="C15" s="53">
        <v>1863</v>
      </c>
      <c r="D15" s="53">
        <v>3706</v>
      </c>
      <c r="E15" s="53">
        <v>4331</v>
      </c>
      <c r="F15" s="53">
        <v>7296</v>
      </c>
      <c r="G15" s="53">
        <v>9201</v>
      </c>
      <c r="H15" s="53">
        <v>13531</v>
      </c>
      <c r="I15" s="53">
        <v>18532</v>
      </c>
      <c r="J15" s="51">
        <v>22841</v>
      </c>
      <c r="K15" s="53">
        <v>24631</v>
      </c>
      <c r="L15" s="53">
        <v>37271.5</v>
      </c>
      <c r="M15" s="53">
        <v>42816.2</v>
      </c>
      <c r="N15" s="53">
        <v>53907.1</v>
      </c>
      <c r="O15" s="89">
        <v>70418.5</v>
      </c>
      <c r="P15" s="89">
        <v>85067.5</v>
      </c>
      <c r="Q15" s="89">
        <v>102298</v>
      </c>
    </row>
    <row r="16" spans="1:17" ht="15" hidden="1" customHeight="1" outlineLevel="1" x14ac:dyDescent="0.15">
      <c r="A16" s="52" t="s">
        <v>125</v>
      </c>
      <c r="B16" s="89" t="s">
        <v>85</v>
      </c>
      <c r="C16" s="89" t="s">
        <v>85</v>
      </c>
      <c r="D16" s="89" t="s">
        <v>85</v>
      </c>
      <c r="E16" s="89" t="s">
        <v>85</v>
      </c>
      <c r="F16" s="89" t="s">
        <v>85</v>
      </c>
      <c r="G16" s="89" t="s">
        <v>85</v>
      </c>
      <c r="H16" s="89" t="s">
        <v>85</v>
      </c>
      <c r="I16" s="53">
        <v>495.17500000000001</v>
      </c>
      <c r="J16" s="53">
        <v>568.89</v>
      </c>
      <c r="K16" s="89" t="s">
        <v>85</v>
      </c>
      <c r="L16" s="89" t="s">
        <v>85</v>
      </c>
      <c r="M16" s="89" t="s">
        <v>85</v>
      </c>
      <c r="N16" s="89" t="s">
        <v>85</v>
      </c>
      <c r="O16" s="89" t="s">
        <v>85</v>
      </c>
      <c r="P16" s="89" t="s">
        <v>85</v>
      </c>
      <c r="Q16" s="89" t="s">
        <v>85</v>
      </c>
    </row>
    <row r="17" spans="1:17" ht="15" customHeight="1" x14ac:dyDescent="0.15">
      <c r="A17" s="52"/>
      <c r="B17" s="89"/>
      <c r="C17" s="89"/>
      <c r="D17" s="89"/>
      <c r="E17" s="89"/>
      <c r="F17" s="89"/>
      <c r="G17" s="89"/>
      <c r="H17" s="89"/>
      <c r="I17" s="53"/>
      <c r="J17" s="53"/>
      <c r="K17" s="89"/>
      <c r="L17" s="89"/>
      <c r="M17" s="89"/>
      <c r="N17" s="89"/>
      <c r="O17" s="89"/>
      <c r="P17" s="89"/>
      <c r="Q17" s="89"/>
    </row>
    <row r="18" spans="1:17" ht="15" customHeight="1" x14ac:dyDescent="0.15">
      <c r="A18" s="93" t="s">
        <v>55</v>
      </c>
      <c r="B18" s="94">
        <v>6553</v>
      </c>
      <c r="C18" s="94">
        <v>10805</v>
      </c>
      <c r="D18" s="94">
        <v>15440</v>
      </c>
      <c r="E18" s="94">
        <v>20007</v>
      </c>
      <c r="F18" s="94">
        <v>33476</v>
      </c>
      <c r="G18" s="94">
        <v>43245</v>
      </c>
      <c r="H18" s="94">
        <v>57284</v>
      </c>
      <c r="I18" s="94">
        <v>71994</v>
      </c>
      <c r="J18" s="94">
        <v>73836</v>
      </c>
      <c r="K18" s="94">
        <v>109538</v>
      </c>
      <c r="L18" s="94">
        <v>137679</v>
      </c>
      <c r="M18" s="94">
        <v>159786</v>
      </c>
      <c r="N18" s="94">
        <v>184965</v>
      </c>
      <c r="O18" s="94">
        <v>217623</v>
      </c>
      <c r="P18" s="94">
        <v>248736</v>
      </c>
      <c r="Q18" s="94">
        <v>289356</v>
      </c>
    </row>
    <row r="19" spans="1:17" ht="15" customHeight="1" x14ac:dyDescent="0.15">
      <c r="A19" s="52" t="s">
        <v>124</v>
      </c>
      <c r="B19" s="89" t="s">
        <v>85</v>
      </c>
      <c r="C19" s="89" t="s">
        <v>85</v>
      </c>
      <c r="D19" s="89" t="s">
        <v>85</v>
      </c>
      <c r="E19" s="53">
        <v>7463</v>
      </c>
      <c r="F19" s="53">
        <v>13492</v>
      </c>
      <c r="G19" s="53">
        <v>16504</v>
      </c>
      <c r="H19" s="53">
        <v>17413</v>
      </c>
      <c r="I19" s="53">
        <v>22762</v>
      </c>
      <c r="J19" s="53">
        <v>17894</v>
      </c>
      <c r="K19" s="53">
        <v>41189</v>
      </c>
      <c r="L19" s="53">
        <v>47377</v>
      </c>
      <c r="M19" s="53">
        <v>53874</v>
      </c>
      <c r="N19" s="89" t="s">
        <v>85</v>
      </c>
      <c r="O19" s="89" t="s">
        <v>85</v>
      </c>
      <c r="P19" s="89" t="s">
        <v>85</v>
      </c>
      <c r="Q19" s="89" t="s">
        <v>85</v>
      </c>
    </row>
    <row r="20" spans="1:17" ht="15" customHeight="1" x14ac:dyDescent="0.15">
      <c r="A20" s="50" t="s">
        <v>123</v>
      </c>
      <c r="B20" s="90" t="s">
        <v>85</v>
      </c>
      <c r="C20" s="90" t="s">
        <v>85</v>
      </c>
      <c r="D20" s="90" t="s">
        <v>85</v>
      </c>
      <c r="E20" s="48">
        <v>1945</v>
      </c>
      <c r="F20" s="90" t="s">
        <v>85</v>
      </c>
      <c r="G20" s="48">
        <v>5921</v>
      </c>
      <c r="H20" s="48">
        <v>7269</v>
      </c>
      <c r="I20" s="48">
        <v>14485</v>
      </c>
      <c r="J20" s="48">
        <v>14198</v>
      </c>
      <c r="K20" s="48">
        <v>16832</v>
      </c>
      <c r="L20" s="48">
        <v>25226</v>
      </c>
      <c r="M20" s="48">
        <v>28198</v>
      </c>
      <c r="N20" s="90" t="s">
        <v>85</v>
      </c>
      <c r="O20" s="90" t="s">
        <v>85</v>
      </c>
      <c r="P20" s="90" t="s">
        <v>85</v>
      </c>
      <c r="Q20" s="90" t="s">
        <v>85</v>
      </c>
    </row>
    <row r="21" spans="1:17" ht="15" customHeight="1" x14ac:dyDescent="0.15">
      <c r="A21" s="52" t="s">
        <v>122</v>
      </c>
      <c r="B21" s="89" t="s">
        <v>85</v>
      </c>
      <c r="C21" s="89" t="s">
        <v>85</v>
      </c>
      <c r="D21" s="89" t="s">
        <v>85</v>
      </c>
      <c r="E21" s="53">
        <v>9128</v>
      </c>
      <c r="F21" s="53">
        <v>14189</v>
      </c>
      <c r="G21" s="53">
        <v>18239.599999999999</v>
      </c>
      <c r="H21" s="53">
        <v>22953.5</v>
      </c>
      <c r="I21" s="53">
        <v>31239</v>
      </c>
      <c r="J21" s="53">
        <v>37506</v>
      </c>
      <c r="K21" s="53">
        <v>46916</v>
      </c>
      <c r="L21" s="53">
        <v>65410.5</v>
      </c>
      <c r="M21" s="53">
        <v>76791.5</v>
      </c>
      <c r="N21" s="53">
        <v>99377</v>
      </c>
      <c r="O21" s="53">
        <v>118602</v>
      </c>
      <c r="P21" s="53">
        <v>140497</v>
      </c>
      <c r="Q21" s="53">
        <v>165221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4117-CF58-437C-96CD-44CD8651967C}">
  <sheetPr>
    <outlinePr summaryBelow="0" summaryRight="0"/>
  </sheetPr>
  <dimension ref="A1:L53"/>
  <sheetViews>
    <sheetView topLeftCell="A26" zoomScale="170" zoomScaleNormal="170" workbookViewId="0">
      <selection activeCell="B48" sqref="B48"/>
    </sheetView>
  </sheetViews>
  <sheetFormatPr baseColWidth="10" defaultColWidth="9.1640625" defaultRowHeight="15" customHeight="1" outlineLevelRow="3" x14ac:dyDescent="0.15"/>
  <cols>
    <col min="1" max="1" width="53.33203125" style="47" customWidth="1"/>
    <col min="2" max="5" width="8.5" style="47" customWidth="1"/>
    <col min="6" max="12" width="9.5" style="47" customWidth="1"/>
    <col min="13" max="16384" width="9.1640625" style="47"/>
  </cols>
  <sheetData>
    <row r="1" spans="1:12" ht="15" customHeight="1" x14ac:dyDescent="0.15">
      <c r="A1" s="55" t="s">
        <v>187</v>
      </c>
    </row>
    <row r="2" spans="1:12" ht="15" customHeight="1" x14ac:dyDescent="0.15">
      <c r="A2" s="75" t="s">
        <v>186</v>
      </c>
    </row>
    <row r="3" spans="1:12" ht="15" customHeight="1" x14ac:dyDescent="0.1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5" spans="1:12" ht="15" customHeight="1" x14ac:dyDescent="0.15">
      <c r="A5" s="54" t="s">
        <v>185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15" customHeight="1" x14ac:dyDescent="0.15">
      <c r="A6" s="54" t="s">
        <v>184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2" ht="15" customHeight="1" x14ac:dyDescent="0.15">
      <c r="A7" s="54" t="s">
        <v>183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12" ht="15" customHeight="1" x14ac:dyDescent="0.15">
      <c r="A8" s="54"/>
      <c r="B8" s="54" t="s">
        <v>182</v>
      </c>
      <c r="C8" s="54" t="s">
        <v>181</v>
      </c>
      <c r="D8" s="54" t="s">
        <v>180</v>
      </c>
      <c r="E8" s="54" t="s">
        <v>179</v>
      </c>
      <c r="F8" s="54" t="s">
        <v>178</v>
      </c>
      <c r="G8" s="54" t="s">
        <v>177</v>
      </c>
      <c r="H8" s="54" t="s">
        <v>176</v>
      </c>
      <c r="I8" s="54" t="s">
        <v>175</v>
      </c>
      <c r="J8" s="54" t="s">
        <v>174</v>
      </c>
      <c r="K8" s="54" t="s">
        <v>173</v>
      </c>
      <c r="L8" s="54" t="s">
        <v>172</v>
      </c>
    </row>
    <row r="9" spans="1:12" ht="15" customHeight="1" x14ac:dyDescent="0.1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 t="s">
        <v>171</v>
      </c>
    </row>
    <row r="10" spans="1:12" ht="15" customHeight="1" x14ac:dyDescent="0.15">
      <c r="A10" s="67" t="s">
        <v>129</v>
      </c>
      <c r="B10" s="70">
        <v>88988</v>
      </c>
      <c r="C10" s="70">
        <v>107006</v>
      </c>
      <c r="D10" s="70">
        <v>135987</v>
      </c>
      <c r="E10" s="70">
        <v>177866</v>
      </c>
      <c r="F10" s="70">
        <v>232887</v>
      </c>
      <c r="G10" s="70">
        <v>280522</v>
      </c>
      <c r="H10" s="70">
        <v>386064</v>
      </c>
      <c r="I10" s="70">
        <v>469822</v>
      </c>
      <c r="J10" s="70">
        <v>513983</v>
      </c>
      <c r="K10" s="70">
        <v>574785</v>
      </c>
      <c r="L10" s="70">
        <v>604334</v>
      </c>
    </row>
    <row r="11" spans="1:12" ht="15" customHeight="1" outlineLevel="1" x14ac:dyDescent="0.15">
      <c r="A11" s="64" t="s">
        <v>221</v>
      </c>
      <c r="B11" s="63">
        <v>62752</v>
      </c>
      <c r="C11" s="63">
        <v>71651</v>
      </c>
      <c r="D11" s="63">
        <v>88265</v>
      </c>
      <c r="E11" s="63">
        <v>111934</v>
      </c>
      <c r="F11" s="63">
        <v>139156</v>
      </c>
      <c r="G11" s="63">
        <v>165536</v>
      </c>
      <c r="H11" s="63">
        <v>233307</v>
      </c>
      <c r="I11" s="63">
        <v>272344</v>
      </c>
      <c r="J11" s="63">
        <v>288831</v>
      </c>
      <c r="K11" s="63">
        <v>304739</v>
      </c>
      <c r="L11" s="63">
        <v>313993</v>
      </c>
    </row>
    <row r="12" spans="1:12" ht="15" customHeight="1" outlineLevel="2" x14ac:dyDescent="0.15">
      <c r="A12" s="62" t="s">
        <v>220</v>
      </c>
      <c r="B12" s="48">
        <v>59530</v>
      </c>
      <c r="C12" s="48">
        <v>67109</v>
      </c>
      <c r="D12" s="48">
        <v>82212</v>
      </c>
      <c r="E12" s="48">
        <v>103282</v>
      </c>
      <c r="F12" s="48">
        <v>123815</v>
      </c>
      <c r="G12" s="48">
        <v>143747</v>
      </c>
      <c r="H12" s="48">
        <v>208056</v>
      </c>
      <c r="I12" s="48">
        <v>238048</v>
      </c>
      <c r="J12" s="48">
        <v>246910</v>
      </c>
      <c r="K12" s="48">
        <v>256076</v>
      </c>
      <c r="L12" s="48">
        <v>264320</v>
      </c>
    </row>
    <row r="13" spans="1:12" ht="15" customHeight="1" outlineLevel="2" x14ac:dyDescent="0.15">
      <c r="A13" s="79" t="s">
        <v>188</v>
      </c>
      <c r="B13" s="63">
        <v>3222</v>
      </c>
      <c r="C13" s="63">
        <v>4542</v>
      </c>
      <c r="D13" s="63">
        <v>6053</v>
      </c>
      <c r="E13" s="63">
        <v>8652</v>
      </c>
      <c r="F13" s="63">
        <v>15341</v>
      </c>
      <c r="G13" s="63">
        <v>21789</v>
      </c>
      <c r="H13" s="63">
        <v>25251</v>
      </c>
      <c r="I13" s="63">
        <v>34296</v>
      </c>
      <c r="J13" s="63">
        <v>41921</v>
      </c>
      <c r="K13" s="63">
        <v>48663</v>
      </c>
      <c r="L13" s="63">
        <v>49673</v>
      </c>
    </row>
    <row r="14" spans="1:12" ht="15" customHeight="1" outlineLevel="3" x14ac:dyDescent="0.15">
      <c r="A14" s="68" t="s">
        <v>60</v>
      </c>
      <c r="B14" s="48">
        <v>3041</v>
      </c>
      <c r="C14" s="48">
        <v>4314</v>
      </c>
      <c r="D14" s="48">
        <v>5766</v>
      </c>
      <c r="E14" s="48">
        <v>8286</v>
      </c>
      <c r="F14" s="48">
        <v>14866</v>
      </c>
      <c r="G14" s="48">
        <v>21224</v>
      </c>
      <c r="H14" s="48">
        <v>24742</v>
      </c>
      <c r="I14" s="48">
        <v>33784</v>
      </c>
      <c r="J14" s="48">
        <v>41317</v>
      </c>
      <c r="K14" s="48">
        <v>47957</v>
      </c>
      <c r="L14" s="50"/>
    </row>
    <row r="15" spans="1:12" ht="15" customHeight="1" outlineLevel="3" x14ac:dyDescent="0.15">
      <c r="A15" s="69" t="s">
        <v>219</v>
      </c>
      <c r="B15" s="53">
        <v>181</v>
      </c>
      <c r="C15" s="53">
        <v>228</v>
      </c>
      <c r="D15" s="53">
        <v>287</v>
      </c>
      <c r="E15" s="53">
        <v>366</v>
      </c>
      <c r="F15" s="53">
        <v>475</v>
      </c>
      <c r="G15" s="53">
        <v>565</v>
      </c>
      <c r="H15" s="53">
        <v>509</v>
      </c>
      <c r="I15" s="53">
        <v>512</v>
      </c>
      <c r="J15" s="53">
        <v>604</v>
      </c>
      <c r="K15" s="53">
        <v>706</v>
      </c>
      <c r="L15" s="52"/>
    </row>
    <row r="16" spans="1:12" ht="15" customHeight="1" x14ac:dyDescent="0.15">
      <c r="A16" s="67" t="s">
        <v>218</v>
      </c>
      <c r="B16" s="70">
        <v>26236</v>
      </c>
      <c r="C16" s="70">
        <v>35355</v>
      </c>
      <c r="D16" s="70">
        <v>47722</v>
      </c>
      <c r="E16" s="70">
        <v>65932</v>
      </c>
      <c r="F16" s="70">
        <v>93731</v>
      </c>
      <c r="G16" s="70">
        <v>114986</v>
      </c>
      <c r="H16" s="70">
        <v>152757</v>
      </c>
      <c r="I16" s="70">
        <v>197478</v>
      </c>
      <c r="J16" s="70">
        <v>225152</v>
      </c>
      <c r="K16" s="70">
        <v>270046</v>
      </c>
      <c r="L16" s="70">
        <v>290341</v>
      </c>
    </row>
    <row r="17" spans="1:12" ht="15" customHeight="1" outlineLevel="1" x14ac:dyDescent="0.15">
      <c r="A17" s="64" t="s">
        <v>217</v>
      </c>
      <c r="B17" s="63">
        <v>25925</v>
      </c>
      <c r="C17" s="63">
        <v>32951</v>
      </c>
      <c r="D17" s="63">
        <v>43369</v>
      </c>
      <c r="E17" s="63">
        <v>61612</v>
      </c>
      <c r="F17" s="63">
        <v>81014</v>
      </c>
      <c r="G17" s="63">
        <v>100244</v>
      </c>
      <c r="H17" s="63">
        <v>129933</v>
      </c>
      <c r="I17" s="63">
        <v>172537</v>
      </c>
      <c r="J17" s="63">
        <v>211641</v>
      </c>
      <c r="K17" s="63">
        <v>232427</v>
      </c>
      <c r="L17" s="63">
        <v>235242</v>
      </c>
    </row>
    <row r="18" spans="1:12" ht="15" customHeight="1" outlineLevel="2" x14ac:dyDescent="0.15">
      <c r="A18" s="62" t="s">
        <v>216</v>
      </c>
      <c r="B18" s="48">
        <v>9275</v>
      </c>
      <c r="C18" s="48">
        <v>12540</v>
      </c>
      <c r="D18" s="48">
        <v>16085</v>
      </c>
      <c r="E18" s="48">
        <v>22620</v>
      </c>
      <c r="F18" s="48">
        <v>28837</v>
      </c>
      <c r="G18" s="48">
        <v>35931</v>
      </c>
      <c r="H18" s="48">
        <v>42740</v>
      </c>
      <c r="I18" s="48">
        <v>56052</v>
      </c>
      <c r="J18" s="48">
        <v>73213</v>
      </c>
      <c r="K18" s="48">
        <v>85622</v>
      </c>
      <c r="L18" s="48">
        <v>85969</v>
      </c>
    </row>
    <row r="19" spans="1:12" ht="15" customHeight="1" outlineLevel="2" x14ac:dyDescent="0.15">
      <c r="A19" s="61" t="s">
        <v>215</v>
      </c>
      <c r="B19" s="53">
        <v>16650</v>
      </c>
      <c r="C19" s="53">
        <v>20411</v>
      </c>
      <c r="D19" s="53">
        <v>27284</v>
      </c>
      <c r="E19" s="53">
        <v>38992</v>
      </c>
      <c r="F19" s="53">
        <v>52177</v>
      </c>
      <c r="G19" s="53">
        <v>64313</v>
      </c>
      <c r="H19" s="53">
        <v>87193</v>
      </c>
      <c r="I19" s="53">
        <v>116485</v>
      </c>
      <c r="J19" s="53">
        <v>138428</v>
      </c>
      <c r="K19" s="53">
        <v>146805</v>
      </c>
      <c r="L19" s="53">
        <v>149273</v>
      </c>
    </row>
    <row r="20" spans="1:12" ht="15" customHeight="1" x14ac:dyDescent="0.15">
      <c r="A20" s="67" t="s">
        <v>214</v>
      </c>
      <c r="B20" s="70">
        <v>311</v>
      </c>
      <c r="C20" s="70">
        <v>2404</v>
      </c>
      <c r="D20" s="70">
        <v>4353</v>
      </c>
      <c r="E20" s="70">
        <v>4320</v>
      </c>
      <c r="F20" s="70">
        <v>12717</v>
      </c>
      <c r="G20" s="70">
        <v>14742</v>
      </c>
      <c r="H20" s="70">
        <v>22824</v>
      </c>
      <c r="I20" s="70">
        <v>24941</v>
      </c>
      <c r="J20" s="70">
        <v>13511</v>
      </c>
      <c r="K20" s="70">
        <v>37619</v>
      </c>
      <c r="L20" s="70">
        <v>55099</v>
      </c>
    </row>
    <row r="21" spans="1:12" ht="15" customHeight="1" outlineLevel="1" x14ac:dyDescent="0.15">
      <c r="A21" s="64" t="s">
        <v>213</v>
      </c>
      <c r="B21" s="63">
        <v>-212</v>
      </c>
      <c r="C21" s="63">
        <v>-377</v>
      </c>
      <c r="D21" s="63">
        <v>-44</v>
      </c>
      <c r="E21" s="63">
        <v>225</v>
      </c>
      <c r="F21" s="63">
        <v>92</v>
      </c>
      <c r="G21" s="63">
        <v>823</v>
      </c>
      <c r="H21" s="63">
        <v>1501</v>
      </c>
      <c r="I21" s="63">
        <v>2178</v>
      </c>
      <c r="J21" s="63">
        <v>-1078</v>
      </c>
      <c r="K21" s="63">
        <v>2110</v>
      </c>
      <c r="L21" s="63">
        <v>2758</v>
      </c>
    </row>
    <row r="22" spans="1:12" ht="15" customHeight="1" outlineLevel="2" x14ac:dyDescent="0.15">
      <c r="A22" s="62" t="s">
        <v>212</v>
      </c>
      <c r="B22" s="48">
        <v>39</v>
      </c>
      <c r="C22" s="48">
        <v>50</v>
      </c>
      <c r="D22" s="48">
        <v>100</v>
      </c>
      <c r="E22" s="48">
        <v>202</v>
      </c>
      <c r="F22" s="48">
        <v>440</v>
      </c>
      <c r="G22" s="48">
        <v>832</v>
      </c>
      <c r="H22" s="48">
        <v>555</v>
      </c>
      <c r="I22" s="48">
        <v>448</v>
      </c>
      <c r="J22" s="48">
        <v>989</v>
      </c>
      <c r="K22" s="48">
        <v>2949</v>
      </c>
      <c r="L22" s="48">
        <v>3850</v>
      </c>
    </row>
    <row r="23" spans="1:12" ht="15" customHeight="1" outlineLevel="2" x14ac:dyDescent="0.15">
      <c r="A23" s="61" t="s">
        <v>211</v>
      </c>
      <c r="B23" s="51">
        <v>-251</v>
      </c>
      <c r="C23" s="51">
        <v>-427</v>
      </c>
      <c r="D23" s="51">
        <v>-144</v>
      </c>
      <c r="E23" s="53">
        <v>23</v>
      </c>
      <c r="F23" s="51">
        <v>-348</v>
      </c>
      <c r="G23" s="51">
        <v>-9</v>
      </c>
      <c r="H23" s="53">
        <v>946</v>
      </c>
      <c r="I23" s="53">
        <v>1730</v>
      </c>
      <c r="J23" s="51">
        <v>-2067</v>
      </c>
      <c r="K23" s="51">
        <v>-839</v>
      </c>
      <c r="L23" s="51">
        <v>-1092</v>
      </c>
    </row>
    <row r="24" spans="1:12" ht="15" customHeight="1" outlineLevel="1" x14ac:dyDescent="0.15">
      <c r="A24" s="72" t="s">
        <v>49</v>
      </c>
      <c r="B24" s="70">
        <v>210</v>
      </c>
      <c r="C24" s="70">
        <v>459</v>
      </c>
      <c r="D24" s="70">
        <v>484</v>
      </c>
      <c r="E24" s="70">
        <v>848</v>
      </c>
      <c r="F24" s="70">
        <v>1417</v>
      </c>
      <c r="G24" s="70">
        <v>1600</v>
      </c>
      <c r="H24" s="70">
        <v>1647</v>
      </c>
      <c r="I24" s="70">
        <v>1809</v>
      </c>
      <c r="J24" s="70">
        <v>2367</v>
      </c>
      <c r="K24" s="70">
        <v>3182</v>
      </c>
      <c r="L24" s="70">
        <v>2752</v>
      </c>
    </row>
    <row r="25" spans="1:12" ht="15" customHeight="1" outlineLevel="2" x14ac:dyDescent="0.15">
      <c r="A25" s="61" t="s">
        <v>210</v>
      </c>
      <c r="B25" s="53">
        <v>210</v>
      </c>
      <c r="C25" s="53">
        <v>459</v>
      </c>
      <c r="D25" s="53">
        <v>484</v>
      </c>
      <c r="E25" s="53">
        <v>848</v>
      </c>
      <c r="F25" s="53">
        <v>1417</v>
      </c>
      <c r="G25" s="53">
        <v>1600</v>
      </c>
      <c r="H25" s="53">
        <v>1647</v>
      </c>
      <c r="I25" s="53">
        <v>1809</v>
      </c>
      <c r="J25" s="53">
        <v>2367</v>
      </c>
      <c r="K25" s="53">
        <v>3182</v>
      </c>
      <c r="L25" s="53">
        <v>2752</v>
      </c>
    </row>
    <row r="26" spans="1:12" ht="15" customHeight="1" outlineLevel="1" x14ac:dyDescent="0.15">
      <c r="A26" s="72" t="s">
        <v>209</v>
      </c>
      <c r="B26" s="67"/>
      <c r="C26" s="67"/>
      <c r="D26" s="70">
        <v>-67</v>
      </c>
      <c r="E26" s="70">
        <v>-109</v>
      </c>
      <c r="F26" s="70">
        <v>131</v>
      </c>
      <c r="G26" s="70">
        <v>-11</v>
      </c>
      <c r="H26" s="70">
        <v>-1500</v>
      </c>
      <c r="I26" s="70">
        <v>-12841</v>
      </c>
      <c r="J26" s="70">
        <v>16002</v>
      </c>
      <c r="K26" s="70">
        <v>-1010</v>
      </c>
      <c r="L26" s="70">
        <v>1002</v>
      </c>
    </row>
    <row r="27" spans="1:12" ht="15" customHeight="1" outlineLevel="2" x14ac:dyDescent="0.15">
      <c r="A27" s="79" t="s">
        <v>208</v>
      </c>
      <c r="B27" s="73"/>
      <c r="C27" s="73"/>
      <c r="D27" s="63">
        <v>67</v>
      </c>
      <c r="E27" s="63">
        <v>109</v>
      </c>
      <c r="F27" s="63">
        <v>-131</v>
      </c>
      <c r="G27" s="63">
        <v>11</v>
      </c>
      <c r="H27" s="63">
        <v>1500</v>
      </c>
      <c r="I27" s="63">
        <v>12841</v>
      </c>
      <c r="J27" s="63">
        <v>-16002</v>
      </c>
      <c r="K27" s="63">
        <v>1010</v>
      </c>
      <c r="L27" s="63">
        <v>-832</v>
      </c>
    </row>
    <row r="28" spans="1:12" ht="15" customHeight="1" outlineLevel="3" x14ac:dyDescent="0.15">
      <c r="A28" s="68" t="s">
        <v>207</v>
      </c>
      <c r="B28" s="50"/>
      <c r="C28" s="50"/>
      <c r="D28" s="50"/>
      <c r="E28" s="50"/>
      <c r="F28" s="50"/>
      <c r="G28" s="50"/>
      <c r="H28" s="50"/>
      <c r="I28" s="48">
        <v>11526</v>
      </c>
      <c r="J28" s="49">
        <v>-13870</v>
      </c>
      <c r="K28" s="48">
        <v>984</v>
      </c>
      <c r="L28" s="49">
        <v>-518</v>
      </c>
    </row>
    <row r="29" spans="1:12" ht="15" customHeight="1" outlineLevel="3" x14ac:dyDescent="0.15">
      <c r="A29" s="69" t="s">
        <v>206</v>
      </c>
      <c r="B29" s="52"/>
      <c r="C29" s="52"/>
      <c r="D29" s="53">
        <v>67</v>
      </c>
      <c r="E29" s="53">
        <v>109</v>
      </c>
      <c r="F29" s="51">
        <v>-131</v>
      </c>
      <c r="G29" s="53">
        <v>11</v>
      </c>
      <c r="H29" s="53">
        <v>1500</v>
      </c>
      <c r="I29" s="53">
        <v>1315</v>
      </c>
      <c r="J29" s="51">
        <v>-2132</v>
      </c>
      <c r="K29" s="53">
        <v>26</v>
      </c>
      <c r="L29" s="51">
        <v>-314</v>
      </c>
    </row>
    <row r="30" spans="1:12" ht="15" customHeight="1" x14ac:dyDescent="0.15">
      <c r="A30" s="67" t="s">
        <v>205</v>
      </c>
      <c r="B30" s="70">
        <v>-111</v>
      </c>
      <c r="C30" s="70">
        <v>1568</v>
      </c>
      <c r="D30" s="70">
        <v>3892</v>
      </c>
      <c r="E30" s="70">
        <v>3806</v>
      </c>
      <c r="F30" s="70">
        <v>11261</v>
      </c>
      <c r="G30" s="70">
        <v>13976</v>
      </c>
      <c r="H30" s="70">
        <v>24178</v>
      </c>
      <c r="I30" s="70">
        <v>38151</v>
      </c>
      <c r="J30" s="70">
        <v>-5936</v>
      </c>
      <c r="K30" s="70">
        <v>37557</v>
      </c>
      <c r="L30" s="70">
        <v>54103</v>
      </c>
    </row>
    <row r="31" spans="1:12" ht="15" customHeight="1" outlineLevel="1" x14ac:dyDescent="0.15">
      <c r="A31" s="64" t="s">
        <v>204</v>
      </c>
      <c r="B31" s="63">
        <v>167</v>
      </c>
      <c r="C31" s="63">
        <v>950</v>
      </c>
      <c r="D31" s="63">
        <v>1425</v>
      </c>
      <c r="E31" s="63">
        <v>769</v>
      </c>
      <c r="F31" s="63">
        <v>1197</v>
      </c>
      <c r="G31" s="63">
        <v>2374</v>
      </c>
      <c r="H31" s="63">
        <v>2863</v>
      </c>
      <c r="I31" s="63">
        <v>4791</v>
      </c>
      <c r="J31" s="63">
        <v>-3217</v>
      </c>
      <c r="K31" s="63">
        <v>7120</v>
      </c>
      <c r="L31" s="63">
        <v>9602</v>
      </c>
    </row>
    <row r="32" spans="1:12" ht="15" customHeight="1" outlineLevel="2" x14ac:dyDescent="0.15">
      <c r="A32" s="62" t="s">
        <v>203</v>
      </c>
      <c r="B32" s="48">
        <v>279</v>
      </c>
      <c r="C32" s="48">
        <v>452</v>
      </c>
      <c r="D32" s="48">
        <v>1344</v>
      </c>
      <c r="E32" s="48">
        <v>74</v>
      </c>
      <c r="F32" s="48">
        <v>193</v>
      </c>
      <c r="G32" s="48">
        <v>438</v>
      </c>
      <c r="H32" s="48">
        <v>2461</v>
      </c>
      <c r="I32" s="48">
        <v>2892</v>
      </c>
      <c r="J32" s="48">
        <v>3249</v>
      </c>
      <c r="K32" s="48">
        <v>10810</v>
      </c>
      <c r="L32" s="50"/>
    </row>
    <row r="33" spans="1:12" ht="15" customHeight="1" outlineLevel="2" x14ac:dyDescent="0.15">
      <c r="A33" s="61" t="s">
        <v>202</v>
      </c>
      <c r="B33" s="53">
        <v>204</v>
      </c>
      <c r="C33" s="53">
        <v>417</v>
      </c>
      <c r="D33" s="53">
        <v>327</v>
      </c>
      <c r="E33" s="53">
        <v>724</v>
      </c>
      <c r="F33" s="53">
        <v>563</v>
      </c>
      <c r="G33" s="53">
        <v>1140</v>
      </c>
      <c r="H33" s="53">
        <v>956</v>
      </c>
      <c r="I33" s="53">
        <v>2209</v>
      </c>
      <c r="J33" s="53">
        <v>1682</v>
      </c>
      <c r="K33" s="53">
        <v>2186</v>
      </c>
      <c r="L33" s="52"/>
    </row>
    <row r="34" spans="1:12" ht="15" customHeight="1" outlineLevel="2" x14ac:dyDescent="0.15">
      <c r="A34" s="62" t="s">
        <v>201</v>
      </c>
      <c r="B34" s="49">
        <v>-136</v>
      </c>
      <c r="C34" s="48">
        <v>302</v>
      </c>
      <c r="D34" s="48">
        <v>85</v>
      </c>
      <c r="E34" s="49">
        <v>-228</v>
      </c>
      <c r="F34" s="48">
        <v>570</v>
      </c>
      <c r="G34" s="48">
        <v>922</v>
      </c>
      <c r="H34" s="49">
        <v>-341</v>
      </c>
      <c r="I34" s="49">
        <v>-23</v>
      </c>
      <c r="J34" s="49">
        <v>-7988</v>
      </c>
      <c r="K34" s="49">
        <v>-6003</v>
      </c>
      <c r="L34" s="50"/>
    </row>
    <row r="35" spans="1:12" ht="15" customHeight="1" outlineLevel="2" x14ac:dyDescent="0.15">
      <c r="A35" s="61" t="s">
        <v>200</v>
      </c>
      <c r="B35" s="51">
        <v>-180</v>
      </c>
      <c r="C35" s="51">
        <v>-221</v>
      </c>
      <c r="D35" s="51">
        <v>-331</v>
      </c>
      <c r="E35" s="53">
        <v>199</v>
      </c>
      <c r="F35" s="51">
        <v>-129</v>
      </c>
      <c r="G35" s="51">
        <v>-126</v>
      </c>
      <c r="H35" s="51">
        <v>-213</v>
      </c>
      <c r="I35" s="51">
        <v>-287</v>
      </c>
      <c r="J35" s="51">
        <v>-160</v>
      </c>
      <c r="K35" s="53">
        <v>127</v>
      </c>
      <c r="L35" s="52"/>
    </row>
    <row r="36" spans="1:12" ht="15" customHeight="1" outlineLevel="1" x14ac:dyDescent="0.15">
      <c r="A36" s="65" t="s">
        <v>199</v>
      </c>
      <c r="B36" s="48">
        <v>37</v>
      </c>
      <c r="C36" s="49">
        <v>-22</v>
      </c>
      <c r="D36" s="49">
        <v>-96</v>
      </c>
      <c r="E36" s="49">
        <v>-4</v>
      </c>
      <c r="F36" s="48">
        <v>9</v>
      </c>
      <c r="G36" s="49">
        <v>-14</v>
      </c>
      <c r="H36" s="48">
        <v>16</v>
      </c>
      <c r="I36" s="48">
        <v>4</v>
      </c>
      <c r="J36" s="49">
        <v>-3</v>
      </c>
      <c r="K36" s="49">
        <v>-12</v>
      </c>
      <c r="L36" s="49">
        <v>-82</v>
      </c>
    </row>
    <row r="37" spans="1:12" ht="15" customHeight="1" x14ac:dyDescent="0.15">
      <c r="A37" s="52" t="s">
        <v>198</v>
      </c>
      <c r="B37" s="51">
        <v>-241</v>
      </c>
      <c r="C37" s="53">
        <v>596</v>
      </c>
      <c r="D37" s="53">
        <v>2371</v>
      </c>
      <c r="E37" s="53">
        <v>3033</v>
      </c>
      <c r="F37" s="53">
        <v>10073</v>
      </c>
      <c r="G37" s="53">
        <v>11588</v>
      </c>
      <c r="H37" s="53">
        <v>21331</v>
      </c>
      <c r="I37" s="53">
        <v>33364</v>
      </c>
      <c r="J37" s="51">
        <v>-2722</v>
      </c>
      <c r="K37" s="53">
        <v>30425</v>
      </c>
      <c r="L37" s="53">
        <v>44419</v>
      </c>
    </row>
    <row r="38" spans="1:12" ht="15" customHeight="1" x14ac:dyDescent="0.15">
      <c r="A38" s="67" t="s">
        <v>52</v>
      </c>
      <c r="B38" s="70">
        <v>-241</v>
      </c>
      <c r="C38" s="70">
        <v>596</v>
      </c>
      <c r="D38" s="70">
        <v>2371</v>
      </c>
      <c r="E38" s="70">
        <v>3033</v>
      </c>
      <c r="F38" s="70">
        <v>10073</v>
      </c>
      <c r="G38" s="70">
        <v>11588</v>
      </c>
      <c r="H38" s="70">
        <v>21331</v>
      </c>
      <c r="I38" s="70">
        <v>33364</v>
      </c>
      <c r="J38" s="70">
        <v>-2722</v>
      </c>
      <c r="K38" s="70">
        <v>30425</v>
      </c>
      <c r="L38" s="70">
        <v>44419</v>
      </c>
    </row>
    <row r="39" spans="1:12" ht="15" customHeight="1" outlineLevel="1" x14ac:dyDescent="0.15">
      <c r="A39" s="66" t="s">
        <v>197</v>
      </c>
      <c r="B39" s="51">
        <v>-241</v>
      </c>
      <c r="C39" s="53">
        <v>596</v>
      </c>
      <c r="D39" s="53">
        <v>2371</v>
      </c>
      <c r="E39" s="53">
        <v>3033</v>
      </c>
      <c r="F39" s="53">
        <v>10073</v>
      </c>
      <c r="G39" s="53">
        <v>11588</v>
      </c>
      <c r="H39" s="53">
        <v>21331</v>
      </c>
      <c r="I39" s="53">
        <v>33364</v>
      </c>
      <c r="J39" s="51">
        <v>-2722</v>
      </c>
      <c r="K39" s="53">
        <v>30425</v>
      </c>
      <c r="L39" s="53">
        <v>44419</v>
      </c>
    </row>
    <row r="40" spans="1:12" ht="15" customHeight="1" x14ac:dyDescent="0.15">
      <c r="A40" s="67" t="s">
        <v>196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1:12" ht="15" customHeight="1" outlineLevel="1" x14ac:dyDescent="0.15">
      <c r="A41" s="66" t="s">
        <v>195</v>
      </c>
      <c r="B41" s="60">
        <v>-2.6082000000000001E-2</v>
      </c>
      <c r="C41" s="59">
        <v>6.2474000000000002E-2</v>
      </c>
      <c r="D41" s="59">
        <v>0.240093</v>
      </c>
      <c r="E41" s="59">
        <v>0.29986800000000002</v>
      </c>
      <c r="F41" s="59">
        <v>1.01647</v>
      </c>
      <c r="G41" s="59">
        <v>1.1488389999999999</v>
      </c>
      <c r="H41" s="59">
        <v>1.9883329999999999</v>
      </c>
      <c r="I41" s="59">
        <v>2.3665340000000001</v>
      </c>
      <c r="J41" s="59">
        <v>0.83221100000000003</v>
      </c>
      <c r="K41" s="59">
        <v>2.8324440000000002</v>
      </c>
      <c r="L41" s="59">
        <v>4.2137089999999997</v>
      </c>
    </row>
    <row r="42" spans="1:12" ht="15" customHeight="1" outlineLevel="1" x14ac:dyDescent="0.15">
      <c r="A42" s="72" t="s">
        <v>194</v>
      </c>
      <c r="B42" s="78">
        <v>-2.5999999999999999E-2</v>
      </c>
      <c r="C42" s="78">
        <v>6.4000000000000001E-2</v>
      </c>
      <c r="D42" s="78">
        <v>0.25009999999999999</v>
      </c>
      <c r="E42" s="78">
        <v>0.316</v>
      </c>
      <c r="F42" s="78">
        <v>1.034</v>
      </c>
      <c r="G42" s="78">
        <v>1.1729000000000001</v>
      </c>
      <c r="H42" s="78">
        <v>2.1331000000000002</v>
      </c>
      <c r="I42" s="78">
        <v>3.2968000000000002</v>
      </c>
      <c r="J42" s="78">
        <v>-0.26719999999999999</v>
      </c>
      <c r="K42" s="78">
        <v>2.9527000000000001</v>
      </c>
      <c r="L42" s="78">
        <v>4.2774000000000001</v>
      </c>
    </row>
    <row r="43" spans="1:12" ht="15" customHeight="1" outlineLevel="2" x14ac:dyDescent="0.15">
      <c r="A43" s="61" t="s">
        <v>193</v>
      </c>
      <c r="B43" s="59">
        <v>9240</v>
      </c>
      <c r="C43" s="59">
        <v>9340</v>
      </c>
      <c r="D43" s="59">
        <v>9480</v>
      </c>
      <c r="E43" s="59">
        <v>9600</v>
      </c>
      <c r="F43" s="59">
        <v>9740</v>
      </c>
      <c r="G43" s="59">
        <v>9880</v>
      </c>
      <c r="H43" s="59">
        <v>10000</v>
      </c>
      <c r="I43" s="59">
        <v>10120</v>
      </c>
      <c r="J43" s="59">
        <v>10189</v>
      </c>
      <c r="K43" s="59">
        <v>10304</v>
      </c>
      <c r="L43" s="59">
        <v>10447</v>
      </c>
    </row>
    <row r="44" spans="1:12" ht="15" customHeight="1" outlineLevel="2" x14ac:dyDescent="0.15">
      <c r="A44" s="62" t="s">
        <v>190</v>
      </c>
      <c r="B44" s="76">
        <v>9300</v>
      </c>
      <c r="C44" s="76">
        <v>9420</v>
      </c>
      <c r="D44" s="76">
        <v>9540</v>
      </c>
      <c r="E44" s="76">
        <v>9680</v>
      </c>
      <c r="F44" s="76">
        <v>9820</v>
      </c>
      <c r="G44" s="76">
        <v>9960</v>
      </c>
      <c r="H44" s="76">
        <v>10060</v>
      </c>
      <c r="I44" s="76">
        <v>10180</v>
      </c>
      <c r="J44" s="76">
        <v>10242</v>
      </c>
      <c r="K44" s="76">
        <v>10383</v>
      </c>
      <c r="L44" s="76">
        <v>10490</v>
      </c>
    </row>
    <row r="45" spans="1:12" ht="15" customHeight="1" outlineLevel="1" x14ac:dyDescent="0.15">
      <c r="A45" s="64" t="s">
        <v>192</v>
      </c>
      <c r="B45" s="77">
        <v>-2.5999999999999999E-2</v>
      </c>
      <c r="C45" s="77">
        <v>6.25E-2</v>
      </c>
      <c r="D45" s="77">
        <v>0.245</v>
      </c>
      <c r="E45" s="77">
        <v>0.3075</v>
      </c>
      <c r="F45" s="77">
        <v>1.0073000000000001</v>
      </c>
      <c r="G45" s="77">
        <v>1.1496</v>
      </c>
      <c r="H45" s="77">
        <v>2.0912999999999999</v>
      </c>
      <c r="I45" s="77">
        <v>3.2391999999999999</v>
      </c>
      <c r="J45" s="77">
        <v>-0.26719999999999999</v>
      </c>
      <c r="K45" s="77">
        <v>2.8997999999999999</v>
      </c>
      <c r="L45" s="77">
        <v>4.1738999999999997</v>
      </c>
    </row>
    <row r="46" spans="1:12" ht="15" customHeight="1" outlineLevel="2" x14ac:dyDescent="0.15">
      <c r="A46" s="62" t="s">
        <v>191</v>
      </c>
      <c r="B46" s="76">
        <v>9240</v>
      </c>
      <c r="C46" s="76">
        <v>9540</v>
      </c>
      <c r="D46" s="76">
        <v>9680</v>
      </c>
      <c r="E46" s="76">
        <v>9860</v>
      </c>
      <c r="F46" s="76">
        <v>10000</v>
      </c>
      <c r="G46" s="76">
        <v>10080</v>
      </c>
      <c r="H46" s="76">
        <v>10200</v>
      </c>
      <c r="I46" s="76">
        <v>10300</v>
      </c>
      <c r="J46" s="76">
        <v>10189</v>
      </c>
      <c r="K46" s="76">
        <v>10492</v>
      </c>
      <c r="L46" s="76">
        <v>10708</v>
      </c>
    </row>
    <row r="47" spans="1:12" ht="15" customHeight="1" outlineLevel="2" x14ac:dyDescent="0.15">
      <c r="A47" s="61" t="s">
        <v>190</v>
      </c>
      <c r="B47" s="59">
        <v>9300</v>
      </c>
      <c r="C47" s="59">
        <v>9420</v>
      </c>
      <c r="D47" s="59">
        <v>9540</v>
      </c>
      <c r="E47" s="59">
        <v>9680</v>
      </c>
      <c r="F47" s="59">
        <v>9820</v>
      </c>
      <c r="G47" s="59">
        <v>9960</v>
      </c>
      <c r="H47" s="59">
        <v>10060</v>
      </c>
      <c r="I47" s="59">
        <v>10180</v>
      </c>
      <c r="J47" s="59">
        <v>10242</v>
      </c>
      <c r="K47" s="59">
        <v>10383</v>
      </c>
      <c r="L47" s="59">
        <v>10490</v>
      </c>
    </row>
    <row r="48" spans="1:12" ht="15" customHeight="1" outlineLevel="1" x14ac:dyDescent="0.15">
      <c r="A48" s="65" t="s">
        <v>189</v>
      </c>
      <c r="B48" s="76">
        <v>63.042000000000002</v>
      </c>
      <c r="C48" s="76">
        <v>70.867999999999995</v>
      </c>
      <c r="D48" s="76">
        <v>74.055000000000007</v>
      </c>
      <c r="E48" s="76">
        <v>57.155000000000001</v>
      </c>
      <c r="F48" s="76">
        <v>76.614000000000004</v>
      </c>
      <c r="G48" s="76">
        <v>74.36</v>
      </c>
      <c r="H48" s="76">
        <v>77.337999999999994</v>
      </c>
      <c r="I48" s="76">
        <v>68.89</v>
      </c>
      <c r="J48" s="76">
        <v>79.504000000000005</v>
      </c>
      <c r="K48" s="76">
        <v>85.314999999999998</v>
      </c>
      <c r="L48" s="50"/>
    </row>
    <row r="49" spans="1:12" ht="15" customHeight="1" x14ac:dyDescent="0.15">
      <c r="A49" s="73" t="s">
        <v>55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</row>
    <row r="50" spans="1:12" ht="15" customHeight="1" outlineLevel="1" x14ac:dyDescent="0.15">
      <c r="A50" s="72" t="s">
        <v>55</v>
      </c>
      <c r="B50" s="70">
        <v>3533</v>
      </c>
      <c r="C50" s="70">
        <v>6946</v>
      </c>
      <c r="D50" s="70">
        <v>10406</v>
      </c>
      <c r="E50" s="70">
        <v>12972</v>
      </c>
      <c r="F50" s="70">
        <v>28058</v>
      </c>
      <c r="G50" s="70">
        <v>36531</v>
      </c>
      <c r="H50" s="70">
        <v>48075</v>
      </c>
      <c r="I50" s="70">
        <v>59237</v>
      </c>
      <c r="J50" s="70">
        <v>55432</v>
      </c>
      <c r="K50" s="70">
        <v>86282</v>
      </c>
      <c r="L50" s="70">
        <v>104772</v>
      </c>
    </row>
    <row r="51" spans="1:12" ht="15" customHeight="1" outlineLevel="2" x14ac:dyDescent="0.15">
      <c r="A51" s="61" t="s">
        <v>48</v>
      </c>
      <c r="B51" s="53">
        <v>311</v>
      </c>
      <c r="C51" s="53">
        <v>2404</v>
      </c>
      <c r="D51" s="53">
        <v>4353</v>
      </c>
      <c r="E51" s="53">
        <v>4320</v>
      </c>
      <c r="F51" s="53">
        <v>12717</v>
      </c>
      <c r="G51" s="53">
        <v>14742</v>
      </c>
      <c r="H51" s="53">
        <v>22824</v>
      </c>
      <c r="I51" s="53">
        <v>24941</v>
      </c>
      <c r="J51" s="53">
        <v>13511</v>
      </c>
      <c r="K51" s="53">
        <v>37619</v>
      </c>
      <c r="L51" s="53">
        <v>55099</v>
      </c>
    </row>
    <row r="52" spans="1:12" ht="15" customHeight="1" outlineLevel="2" x14ac:dyDescent="0.15">
      <c r="A52" s="62" t="s">
        <v>188</v>
      </c>
      <c r="B52" s="48">
        <v>3222</v>
      </c>
      <c r="C52" s="48">
        <v>4542</v>
      </c>
      <c r="D52" s="48">
        <v>6053</v>
      </c>
      <c r="E52" s="48">
        <v>8652</v>
      </c>
      <c r="F52" s="48">
        <v>15341</v>
      </c>
      <c r="G52" s="48">
        <v>21789</v>
      </c>
      <c r="H52" s="48">
        <v>25251</v>
      </c>
      <c r="I52" s="48">
        <v>34296</v>
      </c>
      <c r="J52" s="48">
        <v>41921</v>
      </c>
      <c r="K52" s="48">
        <v>48663</v>
      </c>
      <c r="L52" s="48">
        <v>49673</v>
      </c>
    </row>
    <row r="53" spans="1:12" ht="15" customHeight="1" x14ac:dyDescent="0.15">
      <c r="A53" s="58" t="s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690D-1137-4D1D-AFB2-FBFC6C311D89}">
  <sheetPr>
    <outlinePr summaryBelow="0" summaryRight="0"/>
  </sheetPr>
  <dimension ref="A1:L52"/>
  <sheetViews>
    <sheetView topLeftCell="A8" zoomScale="170" zoomScaleNormal="170" workbookViewId="0">
      <selection activeCell="A17" sqref="A17"/>
    </sheetView>
  </sheetViews>
  <sheetFormatPr baseColWidth="10" defaultColWidth="9.1640625" defaultRowHeight="15" customHeight="1" outlineLevelRow="3" x14ac:dyDescent="0.15"/>
  <cols>
    <col min="1" max="1" width="53.33203125" style="47" customWidth="1"/>
    <col min="2" max="11" width="8" style="47" customWidth="1"/>
    <col min="12" max="12" width="7.83203125" style="47" customWidth="1"/>
    <col min="13" max="16384" width="9.1640625" style="47"/>
  </cols>
  <sheetData>
    <row r="1" spans="1:12" ht="15" customHeight="1" x14ac:dyDescent="0.15">
      <c r="A1" s="55" t="s">
        <v>187</v>
      </c>
    </row>
    <row r="2" spans="1:12" ht="15" customHeight="1" x14ac:dyDescent="0.15">
      <c r="A2" s="75" t="s">
        <v>186</v>
      </c>
    </row>
    <row r="3" spans="1:12" ht="15" customHeight="1" x14ac:dyDescent="0.1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5" spans="1:12" ht="15" customHeight="1" x14ac:dyDescent="0.15">
      <c r="A5" s="54" t="s">
        <v>185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15" customHeight="1" x14ac:dyDescent="0.15">
      <c r="A6" s="54" t="s">
        <v>184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2" ht="15" customHeight="1" x14ac:dyDescent="0.15">
      <c r="A7" s="54" t="s">
        <v>183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12" ht="15" customHeight="1" x14ac:dyDescent="0.15">
      <c r="A8" s="54"/>
      <c r="B8" s="54" t="s">
        <v>182</v>
      </c>
      <c r="C8" s="54" t="s">
        <v>181</v>
      </c>
      <c r="D8" s="54" t="s">
        <v>180</v>
      </c>
      <c r="E8" s="54" t="s">
        <v>179</v>
      </c>
      <c r="F8" s="54" t="s">
        <v>178</v>
      </c>
      <c r="G8" s="54" t="s">
        <v>177</v>
      </c>
      <c r="H8" s="54" t="s">
        <v>176</v>
      </c>
      <c r="I8" s="54" t="s">
        <v>175</v>
      </c>
      <c r="J8" s="54" t="s">
        <v>174</v>
      </c>
      <c r="K8" s="54" t="s">
        <v>173</v>
      </c>
      <c r="L8" s="54" t="s">
        <v>172</v>
      </c>
    </row>
    <row r="9" spans="1:12" ht="15" customHeight="1" x14ac:dyDescent="0.1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 t="s">
        <v>171</v>
      </c>
    </row>
    <row r="10" spans="1:12" ht="15" customHeight="1" x14ac:dyDescent="0.15">
      <c r="A10" s="67" t="s">
        <v>170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 ht="15" customHeight="1" outlineLevel="1" x14ac:dyDescent="0.15">
      <c r="A11" s="66" t="s">
        <v>169</v>
      </c>
      <c r="B11" s="51">
        <v>-241</v>
      </c>
      <c r="C11" s="53">
        <v>596</v>
      </c>
      <c r="D11" s="53">
        <v>2371</v>
      </c>
      <c r="E11" s="53">
        <v>3033</v>
      </c>
      <c r="F11" s="53">
        <v>10073</v>
      </c>
      <c r="G11" s="53">
        <v>11588</v>
      </c>
      <c r="H11" s="53">
        <v>21331</v>
      </c>
      <c r="I11" s="53">
        <v>33364</v>
      </c>
      <c r="J11" s="51">
        <v>-2722</v>
      </c>
      <c r="K11" s="53">
        <v>30425</v>
      </c>
      <c r="L11" s="53">
        <v>44419</v>
      </c>
    </row>
    <row r="12" spans="1:12" ht="15" customHeight="1" outlineLevel="1" x14ac:dyDescent="0.15">
      <c r="A12" s="72" t="s">
        <v>168</v>
      </c>
      <c r="B12" s="70">
        <v>4187</v>
      </c>
      <c r="C12" s="70">
        <v>5646</v>
      </c>
      <c r="D12" s="70">
        <v>7482</v>
      </c>
      <c r="E12" s="70">
        <v>10933</v>
      </c>
      <c r="F12" s="70">
        <v>15341</v>
      </c>
      <c r="G12" s="70">
        <v>21789</v>
      </c>
      <c r="H12" s="70">
        <v>25251</v>
      </c>
      <c r="I12" s="70">
        <v>34296</v>
      </c>
      <c r="J12" s="70">
        <v>41921</v>
      </c>
      <c r="K12" s="70">
        <v>48663</v>
      </c>
      <c r="L12" s="70">
        <v>49673</v>
      </c>
    </row>
    <row r="13" spans="1:12" ht="15" customHeight="1" outlineLevel="2" x14ac:dyDescent="0.15">
      <c r="A13" s="61" t="s">
        <v>167</v>
      </c>
      <c r="B13" s="52"/>
      <c r="C13" s="52"/>
      <c r="D13" s="52"/>
      <c r="E13" s="52"/>
      <c r="F13" s="53">
        <v>14866</v>
      </c>
      <c r="G13" s="53">
        <v>21224</v>
      </c>
      <c r="H13" s="53">
        <v>24742</v>
      </c>
      <c r="I13" s="53">
        <v>33784</v>
      </c>
      <c r="J13" s="53">
        <v>41317</v>
      </c>
      <c r="K13" s="53">
        <v>47957</v>
      </c>
      <c r="L13" s="52"/>
    </row>
    <row r="14" spans="1:12" ht="15" customHeight="1" outlineLevel="2" x14ac:dyDescent="0.15">
      <c r="A14" s="62" t="s">
        <v>166</v>
      </c>
      <c r="B14" s="50"/>
      <c r="C14" s="50"/>
      <c r="D14" s="50"/>
      <c r="E14" s="50"/>
      <c r="F14" s="48">
        <v>475</v>
      </c>
      <c r="G14" s="48">
        <v>565</v>
      </c>
      <c r="H14" s="48">
        <v>509</v>
      </c>
      <c r="I14" s="48">
        <v>512</v>
      </c>
      <c r="J14" s="48">
        <v>604</v>
      </c>
      <c r="K14" s="48">
        <v>706</v>
      </c>
      <c r="L14" s="50"/>
    </row>
    <row r="15" spans="1:12" ht="15" customHeight="1" outlineLevel="1" x14ac:dyDescent="0.15">
      <c r="A15" s="64" t="s">
        <v>165</v>
      </c>
      <c r="B15" s="63">
        <v>-316</v>
      </c>
      <c r="C15" s="63">
        <v>81</v>
      </c>
      <c r="D15" s="63">
        <v>-246</v>
      </c>
      <c r="E15" s="63">
        <v>-29</v>
      </c>
      <c r="F15" s="63">
        <v>441</v>
      </c>
      <c r="G15" s="63">
        <v>796</v>
      </c>
      <c r="H15" s="63">
        <v>-554</v>
      </c>
      <c r="I15" s="63">
        <v>-310</v>
      </c>
      <c r="J15" s="63">
        <v>-8148</v>
      </c>
      <c r="K15" s="63">
        <v>-5876</v>
      </c>
      <c r="L15" s="63">
        <v>-4383</v>
      </c>
    </row>
    <row r="16" spans="1:12" ht="15" customHeight="1" outlineLevel="2" x14ac:dyDescent="0.15">
      <c r="A16" s="62" t="s">
        <v>164</v>
      </c>
      <c r="B16" s="49">
        <v>-316</v>
      </c>
      <c r="C16" s="48">
        <v>81</v>
      </c>
      <c r="D16" s="49">
        <v>-246</v>
      </c>
      <c r="E16" s="49">
        <v>-29</v>
      </c>
      <c r="F16" s="48">
        <v>441</v>
      </c>
      <c r="G16" s="48">
        <v>796</v>
      </c>
      <c r="H16" s="49">
        <v>-554</v>
      </c>
      <c r="I16" s="49">
        <v>-310</v>
      </c>
      <c r="J16" s="49">
        <v>-8148</v>
      </c>
      <c r="K16" s="49">
        <v>-5876</v>
      </c>
      <c r="L16" s="49">
        <v>-4383</v>
      </c>
    </row>
    <row r="17" spans="1:12" ht="15" customHeight="1" outlineLevel="1" x14ac:dyDescent="0.15">
      <c r="A17" s="66" t="s">
        <v>139</v>
      </c>
      <c r="B17" s="53">
        <v>2238</v>
      </c>
      <c r="C17" s="53">
        <v>3040</v>
      </c>
      <c r="D17" s="53">
        <v>2920</v>
      </c>
      <c r="E17" s="53">
        <v>4670</v>
      </c>
      <c r="F17" s="53">
        <v>5911</v>
      </c>
      <c r="G17" s="53">
        <v>6779</v>
      </c>
      <c r="H17" s="53">
        <v>6555</v>
      </c>
      <c r="I17" s="51">
        <v>-1412</v>
      </c>
      <c r="J17" s="53">
        <v>36587</v>
      </c>
      <c r="K17" s="53">
        <v>23275</v>
      </c>
      <c r="L17" s="53">
        <v>25141</v>
      </c>
    </row>
    <row r="18" spans="1:12" ht="15" customHeight="1" outlineLevel="1" x14ac:dyDescent="0.15">
      <c r="A18" s="65" t="s">
        <v>163</v>
      </c>
      <c r="B18" s="48">
        <v>5868</v>
      </c>
      <c r="C18" s="48">
        <v>9363</v>
      </c>
      <c r="D18" s="48">
        <v>12527</v>
      </c>
      <c r="E18" s="48">
        <v>18607</v>
      </c>
      <c r="F18" s="48">
        <v>31766</v>
      </c>
      <c r="G18" s="48">
        <v>40952</v>
      </c>
      <c r="H18" s="48">
        <v>52583</v>
      </c>
      <c r="I18" s="48">
        <v>65938</v>
      </c>
      <c r="J18" s="48">
        <v>67638</v>
      </c>
      <c r="K18" s="48">
        <v>96487</v>
      </c>
      <c r="L18" s="48">
        <v>114850</v>
      </c>
    </row>
    <row r="19" spans="1:12" ht="15" customHeight="1" outlineLevel="1" x14ac:dyDescent="0.15">
      <c r="A19" s="64" t="s">
        <v>162</v>
      </c>
      <c r="B19" s="63">
        <v>974</v>
      </c>
      <c r="C19" s="63">
        <v>2557</v>
      </c>
      <c r="D19" s="63">
        <v>3916</v>
      </c>
      <c r="E19" s="63">
        <v>-173</v>
      </c>
      <c r="F19" s="63">
        <v>-1043</v>
      </c>
      <c r="G19" s="63">
        <v>-2438</v>
      </c>
      <c r="H19" s="63">
        <v>13481</v>
      </c>
      <c r="I19" s="63">
        <v>-19611</v>
      </c>
      <c r="J19" s="63">
        <v>-20886</v>
      </c>
      <c r="K19" s="63">
        <v>-11541</v>
      </c>
      <c r="L19" s="63">
        <v>-6898</v>
      </c>
    </row>
    <row r="20" spans="1:12" ht="15" customHeight="1" outlineLevel="2" x14ac:dyDescent="0.15">
      <c r="A20" s="62" t="s">
        <v>161</v>
      </c>
      <c r="B20" s="49">
        <v>-1039</v>
      </c>
      <c r="C20" s="49">
        <v>-1755</v>
      </c>
      <c r="D20" s="49">
        <v>-3367</v>
      </c>
      <c r="E20" s="49">
        <v>-4786</v>
      </c>
      <c r="F20" s="49">
        <v>-4615</v>
      </c>
      <c r="G20" s="49">
        <v>-7681</v>
      </c>
      <c r="H20" s="49">
        <v>-8169</v>
      </c>
      <c r="I20" s="49">
        <v>-18163</v>
      </c>
      <c r="J20" s="49">
        <v>-21897</v>
      </c>
      <c r="K20" s="49">
        <v>-8348</v>
      </c>
      <c r="L20" s="49">
        <v>-3227</v>
      </c>
    </row>
    <row r="21" spans="1:12" ht="15" customHeight="1" outlineLevel="2" x14ac:dyDescent="0.15">
      <c r="A21" s="61" t="s">
        <v>160</v>
      </c>
      <c r="B21" s="51">
        <v>-1193</v>
      </c>
      <c r="C21" s="51">
        <v>-2187</v>
      </c>
      <c r="D21" s="51">
        <v>-1426</v>
      </c>
      <c r="E21" s="51">
        <v>-3583</v>
      </c>
      <c r="F21" s="51">
        <v>-1314</v>
      </c>
      <c r="G21" s="51">
        <v>-3278</v>
      </c>
      <c r="H21" s="51">
        <v>-2849</v>
      </c>
      <c r="I21" s="51">
        <v>-9487</v>
      </c>
      <c r="J21" s="51">
        <v>-2592</v>
      </c>
      <c r="K21" s="53">
        <v>1449</v>
      </c>
      <c r="L21" s="53">
        <v>2142</v>
      </c>
    </row>
    <row r="22" spans="1:12" ht="15" customHeight="1" outlineLevel="2" x14ac:dyDescent="0.15">
      <c r="A22" s="62" t="s">
        <v>159</v>
      </c>
      <c r="B22" s="48">
        <v>1759</v>
      </c>
      <c r="C22" s="48">
        <v>4294</v>
      </c>
      <c r="D22" s="48">
        <v>5030</v>
      </c>
      <c r="E22" s="48">
        <v>7175</v>
      </c>
      <c r="F22" s="48">
        <v>3263</v>
      </c>
      <c r="G22" s="48">
        <v>8193</v>
      </c>
      <c r="H22" s="48">
        <v>17480</v>
      </c>
      <c r="I22" s="48">
        <v>3602</v>
      </c>
      <c r="J22" s="48">
        <v>2945</v>
      </c>
      <c r="K22" s="48">
        <v>5473</v>
      </c>
      <c r="L22" s="48">
        <v>8431</v>
      </c>
    </row>
    <row r="23" spans="1:12" ht="15" customHeight="1" outlineLevel="2" x14ac:dyDescent="0.15">
      <c r="A23" s="61" t="s">
        <v>158</v>
      </c>
      <c r="B23" s="53">
        <v>706</v>
      </c>
      <c r="C23" s="53">
        <v>913</v>
      </c>
      <c r="D23" s="53">
        <v>1724</v>
      </c>
      <c r="E23" s="53">
        <v>283</v>
      </c>
      <c r="F23" s="53">
        <v>472</v>
      </c>
      <c r="G23" s="51">
        <v>-1383</v>
      </c>
      <c r="H23" s="53">
        <v>5754</v>
      </c>
      <c r="I23" s="53">
        <v>2123</v>
      </c>
      <c r="J23" s="51">
        <v>-1558</v>
      </c>
      <c r="K23" s="51">
        <v>-2428</v>
      </c>
      <c r="L23" s="51">
        <v>-1802</v>
      </c>
    </row>
    <row r="24" spans="1:12" ht="15" customHeight="1" outlineLevel="2" x14ac:dyDescent="0.15">
      <c r="A24" s="62" t="s">
        <v>157</v>
      </c>
      <c r="B24" s="48">
        <v>741</v>
      </c>
      <c r="C24" s="48">
        <v>1292</v>
      </c>
      <c r="D24" s="48">
        <v>1955</v>
      </c>
      <c r="E24" s="48">
        <v>738</v>
      </c>
      <c r="F24" s="48">
        <v>1151</v>
      </c>
      <c r="G24" s="48">
        <v>1711</v>
      </c>
      <c r="H24" s="48">
        <v>1265</v>
      </c>
      <c r="I24" s="48">
        <v>2314</v>
      </c>
      <c r="J24" s="48">
        <v>2216</v>
      </c>
      <c r="K24" s="49">
        <v>-7687</v>
      </c>
      <c r="L24" s="49">
        <v>-12442</v>
      </c>
    </row>
    <row r="25" spans="1:12" ht="15" customHeight="1" outlineLevel="1" x14ac:dyDescent="0.15">
      <c r="A25" s="66" t="s">
        <v>156</v>
      </c>
      <c r="B25" s="53">
        <v>6842</v>
      </c>
      <c r="C25" s="53">
        <v>11920</v>
      </c>
      <c r="D25" s="53">
        <v>16443</v>
      </c>
      <c r="E25" s="53">
        <v>18434</v>
      </c>
      <c r="F25" s="53">
        <v>30723</v>
      </c>
      <c r="G25" s="53">
        <v>38514</v>
      </c>
      <c r="H25" s="53">
        <v>66064</v>
      </c>
      <c r="I25" s="53">
        <v>46327</v>
      </c>
      <c r="J25" s="53">
        <v>46752</v>
      </c>
      <c r="K25" s="53">
        <v>84946</v>
      </c>
      <c r="L25" s="53">
        <v>107952</v>
      </c>
    </row>
    <row r="26" spans="1:12" ht="15" customHeight="1" x14ac:dyDescent="0.15">
      <c r="A26" s="67" t="s">
        <v>155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1:12" ht="15" customHeight="1" outlineLevel="1" x14ac:dyDescent="0.15">
      <c r="A27" s="64" t="s">
        <v>59</v>
      </c>
      <c r="B27" s="63">
        <v>-4893</v>
      </c>
      <c r="C27" s="63">
        <v>-4589</v>
      </c>
      <c r="D27" s="63">
        <v>-6737</v>
      </c>
      <c r="E27" s="63">
        <v>-11955</v>
      </c>
      <c r="F27" s="63">
        <v>-13427</v>
      </c>
      <c r="G27" s="63">
        <v>-16861</v>
      </c>
      <c r="H27" s="63">
        <v>-40140</v>
      </c>
      <c r="I27" s="63">
        <v>-61053</v>
      </c>
      <c r="J27" s="63">
        <v>-63645</v>
      </c>
      <c r="K27" s="63">
        <v>-52729</v>
      </c>
      <c r="L27" s="63">
        <v>-59612</v>
      </c>
    </row>
    <row r="28" spans="1:12" ht="15" customHeight="1" outlineLevel="2" x14ac:dyDescent="0.15">
      <c r="A28" s="62" t="s">
        <v>154</v>
      </c>
      <c r="B28" s="49">
        <v>-4893</v>
      </c>
      <c r="C28" s="49">
        <v>-4589</v>
      </c>
      <c r="D28" s="49">
        <v>-6737</v>
      </c>
      <c r="E28" s="49">
        <v>-11955</v>
      </c>
      <c r="F28" s="49">
        <v>-13427</v>
      </c>
      <c r="G28" s="49">
        <v>-16861</v>
      </c>
      <c r="H28" s="49">
        <v>-40140</v>
      </c>
      <c r="I28" s="49">
        <v>-61053</v>
      </c>
      <c r="J28" s="49">
        <v>-63645</v>
      </c>
      <c r="K28" s="49">
        <v>-52729</v>
      </c>
      <c r="L28" s="49">
        <v>-59612</v>
      </c>
    </row>
    <row r="29" spans="1:12" ht="15" customHeight="1" outlineLevel="1" x14ac:dyDescent="0.15">
      <c r="A29" s="66" t="s">
        <v>153</v>
      </c>
      <c r="B29" s="51">
        <v>-979</v>
      </c>
      <c r="C29" s="51">
        <v>-795</v>
      </c>
      <c r="D29" s="51">
        <v>-116</v>
      </c>
      <c r="E29" s="51">
        <v>-13972</v>
      </c>
      <c r="F29" s="51">
        <v>-2186</v>
      </c>
      <c r="G29" s="51">
        <v>-2461</v>
      </c>
      <c r="H29" s="51">
        <v>-2325</v>
      </c>
      <c r="I29" s="51">
        <v>-1985</v>
      </c>
      <c r="J29" s="51">
        <v>-8316</v>
      </c>
      <c r="K29" s="51">
        <v>-5839</v>
      </c>
      <c r="L29" s="51">
        <v>-5935</v>
      </c>
    </row>
    <row r="30" spans="1:12" ht="15" customHeight="1" outlineLevel="1" x14ac:dyDescent="0.15">
      <c r="A30" s="65" t="s">
        <v>152</v>
      </c>
      <c r="B30" s="48">
        <v>0</v>
      </c>
      <c r="C30" s="48">
        <v>0</v>
      </c>
      <c r="D30" s="48">
        <v>0</v>
      </c>
      <c r="E30" s="48">
        <v>1897</v>
      </c>
      <c r="F30" s="48">
        <v>2104</v>
      </c>
      <c r="G30" s="48">
        <v>4172</v>
      </c>
      <c r="H30" s="48">
        <v>5096</v>
      </c>
      <c r="I30" s="48">
        <v>5657</v>
      </c>
      <c r="J30" s="48">
        <v>5324</v>
      </c>
      <c r="K30" s="48">
        <v>4596</v>
      </c>
      <c r="L30" s="48">
        <v>4633</v>
      </c>
    </row>
    <row r="31" spans="1:12" ht="15" customHeight="1" outlineLevel="1" x14ac:dyDescent="0.15">
      <c r="A31" s="64" t="s">
        <v>151</v>
      </c>
      <c r="B31" s="63">
        <v>807</v>
      </c>
      <c r="C31" s="63">
        <v>-1066</v>
      </c>
      <c r="D31" s="63">
        <v>-3023</v>
      </c>
      <c r="E31" s="63">
        <v>-3789</v>
      </c>
      <c r="F31" s="63">
        <v>1140</v>
      </c>
      <c r="G31" s="63">
        <v>-9131</v>
      </c>
      <c r="H31" s="63">
        <v>-22242</v>
      </c>
      <c r="I31" s="63">
        <v>-773</v>
      </c>
      <c r="J31" s="63">
        <v>29036</v>
      </c>
      <c r="K31" s="63">
        <v>4139</v>
      </c>
      <c r="L31" s="63">
        <v>-3440</v>
      </c>
    </row>
    <row r="32" spans="1:12" ht="15" customHeight="1" outlineLevel="2" x14ac:dyDescent="0.15">
      <c r="A32" s="62" t="s">
        <v>150</v>
      </c>
      <c r="B32" s="48">
        <v>2542</v>
      </c>
      <c r="C32" s="48">
        <v>4091</v>
      </c>
      <c r="D32" s="48">
        <v>7756</v>
      </c>
      <c r="E32" s="48">
        <v>13777</v>
      </c>
      <c r="F32" s="48">
        <v>7100</v>
      </c>
      <c r="G32" s="48">
        <v>31812</v>
      </c>
      <c r="H32" s="48">
        <v>72479</v>
      </c>
      <c r="I32" s="48">
        <v>60157</v>
      </c>
      <c r="J32" s="48">
        <v>2565</v>
      </c>
      <c r="K32" s="48">
        <v>1488</v>
      </c>
      <c r="L32" s="48">
        <v>11058</v>
      </c>
    </row>
    <row r="33" spans="1:12" ht="15" customHeight="1" outlineLevel="2" x14ac:dyDescent="0.15">
      <c r="A33" s="61" t="s">
        <v>149</v>
      </c>
      <c r="B33" s="53">
        <v>3349</v>
      </c>
      <c r="C33" s="53">
        <v>3025</v>
      </c>
      <c r="D33" s="53">
        <v>4733</v>
      </c>
      <c r="E33" s="53">
        <v>9988</v>
      </c>
      <c r="F33" s="53">
        <v>8240</v>
      </c>
      <c r="G33" s="53">
        <v>22681</v>
      </c>
      <c r="H33" s="53">
        <v>50237</v>
      </c>
      <c r="I33" s="53">
        <v>59384</v>
      </c>
      <c r="J33" s="53">
        <v>31601</v>
      </c>
      <c r="K33" s="53">
        <v>5627</v>
      </c>
      <c r="L33" s="53">
        <v>7618</v>
      </c>
    </row>
    <row r="34" spans="1:12" ht="15" customHeight="1" outlineLevel="1" x14ac:dyDescent="0.15">
      <c r="A34" s="65" t="s">
        <v>148</v>
      </c>
      <c r="B34" s="49">
        <v>-5065</v>
      </c>
      <c r="C34" s="49">
        <v>-6450</v>
      </c>
      <c r="D34" s="49">
        <v>-9876</v>
      </c>
      <c r="E34" s="49">
        <v>-27819</v>
      </c>
      <c r="F34" s="49">
        <v>-12369</v>
      </c>
      <c r="G34" s="49">
        <v>-24281</v>
      </c>
      <c r="H34" s="49">
        <v>-59611</v>
      </c>
      <c r="I34" s="49">
        <v>-58154</v>
      </c>
      <c r="J34" s="49">
        <v>-37601</v>
      </c>
      <c r="K34" s="49">
        <v>-49833</v>
      </c>
      <c r="L34" s="49">
        <v>-64354</v>
      </c>
    </row>
    <row r="35" spans="1:12" ht="15" customHeight="1" x14ac:dyDescent="0.15">
      <c r="A35" s="73" t="s">
        <v>147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ht="15" customHeight="1" outlineLevel="1" x14ac:dyDescent="0.15">
      <c r="A36" s="72" t="s">
        <v>146</v>
      </c>
      <c r="B36" s="70">
        <v>0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-6000</v>
      </c>
      <c r="K36" s="70">
        <v>0</v>
      </c>
      <c r="L36" s="70">
        <v>0</v>
      </c>
    </row>
    <row r="37" spans="1:12" ht="15" customHeight="1" outlineLevel="2" x14ac:dyDescent="0.15">
      <c r="A37" s="61" t="s">
        <v>145</v>
      </c>
      <c r="B37" s="53">
        <v>0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1">
        <v>-6000</v>
      </c>
      <c r="K37" s="53">
        <v>0</v>
      </c>
      <c r="L37" s="53">
        <v>0</v>
      </c>
    </row>
    <row r="38" spans="1:12" ht="15" customHeight="1" outlineLevel="1" x14ac:dyDescent="0.15">
      <c r="A38" s="72" t="s">
        <v>144</v>
      </c>
      <c r="B38" s="70">
        <v>4426</v>
      </c>
      <c r="C38" s="70">
        <v>-3882</v>
      </c>
      <c r="D38" s="70">
        <v>-3740</v>
      </c>
      <c r="E38" s="70">
        <v>9860</v>
      </c>
      <c r="F38" s="70">
        <v>-7686</v>
      </c>
      <c r="G38" s="70">
        <v>-10066</v>
      </c>
      <c r="H38" s="70">
        <v>-1104</v>
      </c>
      <c r="I38" s="70">
        <v>6291</v>
      </c>
      <c r="J38" s="70">
        <v>15718</v>
      </c>
      <c r="K38" s="70">
        <v>-15879</v>
      </c>
      <c r="L38" s="70">
        <v>-21440</v>
      </c>
    </row>
    <row r="39" spans="1:12" ht="15" customHeight="1" outlineLevel="2" x14ac:dyDescent="0.15">
      <c r="A39" s="61" t="s">
        <v>143</v>
      </c>
      <c r="B39" s="53">
        <v>0</v>
      </c>
      <c r="C39" s="53">
        <v>0</v>
      </c>
      <c r="D39" s="53">
        <v>0</v>
      </c>
      <c r="E39" s="53">
        <v>0</v>
      </c>
      <c r="F39" s="53">
        <v>0</v>
      </c>
      <c r="G39" s="53">
        <v>0</v>
      </c>
      <c r="H39" s="53">
        <v>619</v>
      </c>
      <c r="I39" s="53">
        <v>203</v>
      </c>
      <c r="J39" s="53">
        <v>3999</v>
      </c>
      <c r="K39" s="51">
        <v>-7548</v>
      </c>
      <c r="L39" s="51">
        <v>-13253</v>
      </c>
    </row>
    <row r="40" spans="1:12" ht="15" customHeight="1" outlineLevel="2" x14ac:dyDescent="0.15">
      <c r="A40" s="71" t="s">
        <v>142</v>
      </c>
      <c r="B40" s="70">
        <v>4426</v>
      </c>
      <c r="C40" s="70">
        <v>-3882</v>
      </c>
      <c r="D40" s="70">
        <v>-3740</v>
      </c>
      <c r="E40" s="70">
        <v>9860</v>
      </c>
      <c r="F40" s="70">
        <v>-7686</v>
      </c>
      <c r="G40" s="70">
        <v>-10066</v>
      </c>
      <c r="H40" s="70">
        <v>-1723</v>
      </c>
      <c r="I40" s="70">
        <v>6088</v>
      </c>
      <c r="J40" s="70">
        <v>11719</v>
      </c>
      <c r="K40" s="70">
        <v>-8331</v>
      </c>
      <c r="L40" s="70">
        <v>-8187</v>
      </c>
    </row>
    <row r="41" spans="1:12" ht="15" customHeight="1" outlineLevel="3" x14ac:dyDescent="0.15">
      <c r="A41" s="69" t="s">
        <v>141</v>
      </c>
      <c r="B41" s="53">
        <v>6359</v>
      </c>
      <c r="C41" s="53">
        <v>353</v>
      </c>
      <c r="D41" s="53">
        <v>621</v>
      </c>
      <c r="E41" s="53">
        <v>16231</v>
      </c>
      <c r="F41" s="53">
        <v>768</v>
      </c>
      <c r="G41" s="53">
        <v>2273</v>
      </c>
      <c r="H41" s="53">
        <v>10525</v>
      </c>
      <c r="I41" s="53">
        <v>19003</v>
      </c>
      <c r="J41" s="53">
        <v>21166</v>
      </c>
      <c r="K41" s="53">
        <v>0</v>
      </c>
      <c r="L41" s="53">
        <v>0</v>
      </c>
    </row>
    <row r="42" spans="1:12" ht="15" customHeight="1" outlineLevel="3" x14ac:dyDescent="0.15">
      <c r="A42" s="68" t="s">
        <v>140</v>
      </c>
      <c r="B42" s="49">
        <v>-1933</v>
      </c>
      <c r="C42" s="49">
        <v>-4235</v>
      </c>
      <c r="D42" s="49">
        <v>-4361</v>
      </c>
      <c r="E42" s="49">
        <v>-6371</v>
      </c>
      <c r="F42" s="49">
        <v>-8454</v>
      </c>
      <c r="G42" s="49">
        <v>-12339</v>
      </c>
      <c r="H42" s="49">
        <v>-12248</v>
      </c>
      <c r="I42" s="49">
        <v>-12915</v>
      </c>
      <c r="J42" s="49">
        <v>-9447</v>
      </c>
      <c r="K42" s="49">
        <v>-8331</v>
      </c>
      <c r="L42" s="49">
        <v>-8187</v>
      </c>
    </row>
    <row r="43" spans="1:12" ht="15" customHeight="1" outlineLevel="1" x14ac:dyDescent="0.15">
      <c r="A43" s="64" t="s">
        <v>139</v>
      </c>
      <c r="B43" s="63">
        <v>6</v>
      </c>
      <c r="C43" s="63">
        <v>119</v>
      </c>
      <c r="D43" s="63">
        <v>829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</row>
    <row r="44" spans="1:12" ht="15" customHeight="1" outlineLevel="2" x14ac:dyDescent="0.15">
      <c r="A44" s="62" t="s">
        <v>138</v>
      </c>
      <c r="B44" s="48">
        <v>6</v>
      </c>
      <c r="C44" s="48">
        <v>119</v>
      </c>
      <c r="D44" s="48">
        <v>829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48">
        <v>0</v>
      </c>
    </row>
    <row r="45" spans="1:12" ht="15" customHeight="1" outlineLevel="1" x14ac:dyDescent="0.15">
      <c r="A45" s="66" t="s">
        <v>137</v>
      </c>
      <c r="B45" s="53">
        <v>4432</v>
      </c>
      <c r="C45" s="51">
        <v>-3763</v>
      </c>
      <c r="D45" s="51">
        <v>-2911</v>
      </c>
      <c r="E45" s="53">
        <v>9860</v>
      </c>
      <c r="F45" s="51">
        <v>-7686</v>
      </c>
      <c r="G45" s="51">
        <v>-10066</v>
      </c>
      <c r="H45" s="51">
        <v>-1104</v>
      </c>
      <c r="I45" s="53">
        <v>6291</v>
      </c>
      <c r="J45" s="53">
        <v>9718</v>
      </c>
      <c r="K45" s="51">
        <v>-15879</v>
      </c>
      <c r="L45" s="51">
        <v>-21440</v>
      </c>
    </row>
    <row r="46" spans="1:12" ht="15" customHeight="1" x14ac:dyDescent="0.15">
      <c r="A46" s="67" t="s">
        <v>136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</row>
    <row r="47" spans="1:12" ht="15" customHeight="1" outlineLevel="1" x14ac:dyDescent="0.15">
      <c r="A47" s="66" t="s">
        <v>135</v>
      </c>
      <c r="B47" s="51">
        <v>-310</v>
      </c>
      <c r="C47" s="51">
        <v>-374</v>
      </c>
      <c r="D47" s="51">
        <v>-212</v>
      </c>
      <c r="E47" s="53">
        <v>713</v>
      </c>
      <c r="F47" s="51">
        <v>-351</v>
      </c>
      <c r="G47" s="53">
        <v>70</v>
      </c>
      <c r="H47" s="53">
        <v>618</v>
      </c>
      <c r="I47" s="51">
        <v>-364</v>
      </c>
      <c r="J47" s="51">
        <v>-1093</v>
      </c>
      <c r="K47" s="53">
        <v>403</v>
      </c>
      <c r="L47" s="51">
        <v>-552</v>
      </c>
    </row>
    <row r="48" spans="1:12" ht="15" customHeight="1" outlineLevel="1" x14ac:dyDescent="0.15">
      <c r="A48" s="65" t="s">
        <v>61</v>
      </c>
      <c r="B48" s="48">
        <v>5899</v>
      </c>
      <c r="C48" s="48">
        <v>1333</v>
      </c>
      <c r="D48" s="48">
        <v>3444</v>
      </c>
      <c r="E48" s="48">
        <v>1188</v>
      </c>
      <c r="F48" s="48">
        <v>10317</v>
      </c>
      <c r="G48" s="48">
        <v>4237</v>
      </c>
      <c r="H48" s="48">
        <v>5967</v>
      </c>
      <c r="I48" s="49">
        <v>-5900</v>
      </c>
      <c r="J48" s="48">
        <v>17776</v>
      </c>
      <c r="K48" s="48">
        <v>19637</v>
      </c>
      <c r="L48" s="48">
        <v>21606</v>
      </c>
    </row>
    <row r="49" spans="1:12" ht="15" customHeight="1" outlineLevel="1" x14ac:dyDescent="0.15">
      <c r="A49" s="64" t="s">
        <v>87</v>
      </c>
      <c r="B49" s="63">
        <v>1949</v>
      </c>
      <c r="C49" s="63">
        <v>7331</v>
      </c>
      <c r="D49" s="63">
        <v>9706</v>
      </c>
      <c r="E49" s="63">
        <v>6479</v>
      </c>
      <c r="F49" s="63">
        <v>17296</v>
      </c>
      <c r="G49" s="63">
        <v>21653</v>
      </c>
      <c r="H49" s="63">
        <v>25924</v>
      </c>
      <c r="I49" s="63">
        <v>-14726</v>
      </c>
      <c r="J49" s="63">
        <v>-16893</v>
      </c>
      <c r="K49" s="63">
        <v>32217</v>
      </c>
      <c r="L49" s="63">
        <v>48340</v>
      </c>
    </row>
    <row r="50" spans="1:12" ht="15" customHeight="1" outlineLevel="2" x14ac:dyDescent="0.15">
      <c r="A50" s="62" t="s">
        <v>134</v>
      </c>
      <c r="B50" s="48">
        <v>0.21093100000000001</v>
      </c>
      <c r="C50" s="48">
        <v>0.76844900000000005</v>
      </c>
      <c r="D50" s="48">
        <v>1.002686</v>
      </c>
      <c r="E50" s="48">
        <v>0.65709899999999999</v>
      </c>
      <c r="F50" s="48">
        <v>1.7296</v>
      </c>
      <c r="G50" s="48">
        <v>2.1481150000000002</v>
      </c>
      <c r="H50" s="48">
        <v>2.541569</v>
      </c>
      <c r="I50" s="49">
        <v>-1.4297089999999999</v>
      </c>
      <c r="J50" s="49">
        <v>-1.657964</v>
      </c>
      <c r="K50" s="48">
        <v>3.0706250000000002</v>
      </c>
      <c r="L50" s="48">
        <v>4.5143820000000003</v>
      </c>
    </row>
    <row r="51" spans="1:12" ht="15" customHeight="1" outlineLevel="2" x14ac:dyDescent="0.15">
      <c r="A51" s="61" t="s">
        <v>133</v>
      </c>
      <c r="B51" s="59">
        <v>1.3593090000000001</v>
      </c>
      <c r="C51" s="59">
        <v>2.2738870000000002</v>
      </c>
      <c r="D51" s="59">
        <v>2.674293</v>
      </c>
      <c r="E51" s="59">
        <v>1.123756</v>
      </c>
      <c r="F51" s="59">
        <v>2.3031079999999999</v>
      </c>
      <c r="G51" s="59">
        <v>2.3250009999999999</v>
      </c>
      <c r="H51" s="59">
        <v>1.5607139999999999</v>
      </c>
      <c r="I51" s="60">
        <v>-0.85756600000000005</v>
      </c>
      <c r="J51" s="60">
        <v>-1.973767</v>
      </c>
      <c r="K51" s="59">
        <v>2.0209459999999999</v>
      </c>
      <c r="L51" s="59">
        <v>2.3360319999999999</v>
      </c>
    </row>
    <row r="52" spans="1:12" ht="15" customHeight="1" x14ac:dyDescent="0.15">
      <c r="A52" s="58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8A46-3D60-4955-90B9-990FD050FC44}">
  <sheetPr>
    <outlinePr summaryBelow="0" summaryRight="0"/>
  </sheetPr>
  <dimension ref="A1:Q10"/>
  <sheetViews>
    <sheetView zoomScale="170" zoomScaleNormal="170" workbookViewId="0"/>
  </sheetViews>
  <sheetFormatPr baseColWidth="10" defaultColWidth="9.1640625" defaultRowHeight="15" customHeight="1" x14ac:dyDescent="0.15"/>
  <cols>
    <col min="1" max="1" width="23.6640625" style="47" customWidth="1"/>
    <col min="2" max="11" width="7.6640625" style="47" customWidth="1"/>
    <col min="12" max="17" width="8.83203125" style="47" customWidth="1"/>
    <col min="18" max="16384" width="9.1640625" style="47"/>
  </cols>
  <sheetData>
    <row r="1" spans="1:17" ht="15" customHeight="1" x14ac:dyDescent="0.15">
      <c r="A1" s="55" t="s">
        <v>121</v>
      </c>
    </row>
    <row r="2" spans="1:17" ht="15" customHeight="1" x14ac:dyDescent="0.15">
      <c r="A2" s="47" t="s">
        <v>120</v>
      </c>
    </row>
    <row r="3" spans="1:17" ht="15" customHeight="1" x14ac:dyDescent="0.15">
      <c r="A3" s="54"/>
      <c r="B3" s="54" t="s">
        <v>119</v>
      </c>
      <c r="C3" s="54" t="s">
        <v>118</v>
      </c>
      <c r="D3" s="54" t="s">
        <v>117</v>
      </c>
      <c r="E3" s="54" t="s">
        <v>116</v>
      </c>
      <c r="F3" s="54" t="s">
        <v>115</v>
      </c>
      <c r="G3" s="54" t="s">
        <v>114</v>
      </c>
      <c r="H3" s="54" t="s">
        <v>113</v>
      </c>
      <c r="I3" s="54" t="s">
        <v>112</v>
      </c>
      <c r="J3" s="54" t="s">
        <v>111</v>
      </c>
      <c r="K3" s="54" t="s">
        <v>110</v>
      </c>
      <c r="L3" s="54" t="s">
        <v>109</v>
      </c>
      <c r="M3" s="54" t="s">
        <v>108</v>
      </c>
      <c r="N3" s="54" t="s">
        <v>107</v>
      </c>
      <c r="O3" s="54" t="s">
        <v>106</v>
      </c>
      <c r="P3" s="54" t="s">
        <v>105</v>
      </c>
      <c r="Q3" s="54" t="s">
        <v>104</v>
      </c>
    </row>
    <row r="4" spans="1:17" ht="15" customHeight="1" x14ac:dyDescent="0.15">
      <c r="A4" s="54"/>
      <c r="B4" s="54" t="s">
        <v>103</v>
      </c>
      <c r="C4" s="54" t="s">
        <v>102</v>
      </c>
      <c r="D4" s="54" t="s">
        <v>101</v>
      </c>
      <c r="E4" s="54" t="s">
        <v>100</v>
      </c>
      <c r="F4" s="54" t="s">
        <v>99</v>
      </c>
      <c r="G4" s="54" t="s">
        <v>98</v>
      </c>
      <c r="H4" s="54" t="s">
        <v>97</v>
      </c>
      <c r="I4" s="54" t="s">
        <v>96</v>
      </c>
      <c r="J4" s="54" t="s">
        <v>95</v>
      </c>
      <c r="K4" s="54" t="s">
        <v>94</v>
      </c>
      <c r="L4" s="54" t="s">
        <v>93</v>
      </c>
      <c r="M4" s="54" t="s">
        <v>92</v>
      </c>
      <c r="N4" s="54" t="s">
        <v>91</v>
      </c>
      <c r="O4" s="54" t="s">
        <v>90</v>
      </c>
      <c r="P4" s="54" t="s">
        <v>89</v>
      </c>
      <c r="Q4" s="54" t="s">
        <v>88</v>
      </c>
    </row>
    <row r="5" spans="1:17" ht="15" customHeight="1" x14ac:dyDescent="0.15">
      <c r="A5" s="52" t="s">
        <v>59</v>
      </c>
      <c r="B5" s="53">
        <v>4892</v>
      </c>
      <c r="C5" s="53">
        <v>4588</v>
      </c>
      <c r="D5" s="53">
        <v>6736</v>
      </c>
      <c r="E5" s="53">
        <v>10058</v>
      </c>
      <c r="F5" s="53">
        <v>11322</v>
      </c>
      <c r="G5" s="53">
        <v>12690</v>
      </c>
      <c r="H5" s="53">
        <v>35046</v>
      </c>
      <c r="I5" s="53">
        <v>55396</v>
      </c>
      <c r="J5" s="53">
        <v>58321</v>
      </c>
      <c r="K5" s="53">
        <v>52729</v>
      </c>
      <c r="L5" s="53">
        <v>65971.5</v>
      </c>
      <c r="M5" s="53">
        <v>71754.7</v>
      </c>
      <c r="N5" s="53">
        <v>71087</v>
      </c>
      <c r="O5" s="53">
        <v>80757.5</v>
      </c>
      <c r="P5" s="53">
        <v>84731.5</v>
      </c>
      <c r="Q5" s="53">
        <v>89516</v>
      </c>
    </row>
    <row r="6" spans="1:17" ht="15" customHeight="1" x14ac:dyDescent="0.15">
      <c r="A6" s="50" t="s">
        <v>87</v>
      </c>
      <c r="B6" s="48">
        <v>1949</v>
      </c>
      <c r="C6" s="48">
        <v>7331</v>
      </c>
      <c r="D6" s="48">
        <v>9706</v>
      </c>
      <c r="E6" s="48">
        <v>8377</v>
      </c>
      <c r="F6" s="48">
        <v>19402</v>
      </c>
      <c r="G6" s="48">
        <v>25825</v>
      </c>
      <c r="H6" s="48">
        <v>31018</v>
      </c>
      <c r="I6" s="49">
        <v>-9069</v>
      </c>
      <c r="J6" s="49">
        <v>-11569</v>
      </c>
      <c r="K6" s="48">
        <v>36658</v>
      </c>
      <c r="L6" s="48">
        <v>55427.3</v>
      </c>
      <c r="M6" s="48">
        <v>69788.899999999994</v>
      </c>
      <c r="N6" s="48">
        <v>98528.1</v>
      </c>
      <c r="O6" s="48">
        <v>126711</v>
      </c>
      <c r="P6" s="48">
        <v>149789</v>
      </c>
      <c r="Q6" s="48">
        <v>177525</v>
      </c>
    </row>
    <row r="7" spans="1:17" ht="15" customHeight="1" x14ac:dyDescent="0.15">
      <c r="A7" s="52" t="s">
        <v>86</v>
      </c>
      <c r="B7" s="53">
        <v>449</v>
      </c>
      <c r="C7" s="52" t="s">
        <v>85</v>
      </c>
      <c r="D7" s="52" t="s">
        <v>85</v>
      </c>
      <c r="E7" s="52" t="s">
        <v>85</v>
      </c>
      <c r="F7" s="52" t="s">
        <v>85</v>
      </c>
      <c r="G7" s="52" t="s">
        <v>85</v>
      </c>
      <c r="H7" s="52" t="s">
        <v>85</v>
      </c>
      <c r="I7" s="52" t="s">
        <v>85</v>
      </c>
      <c r="J7" s="52" t="s">
        <v>85</v>
      </c>
      <c r="K7" s="52" t="s">
        <v>85</v>
      </c>
      <c r="L7" s="52" t="s">
        <v>85</v>
      </c>
      <c r="M7" s="52" t="s">
        <v>85</v>
      </c>
      <c r="N7" s="52" t="s">
        <v>85</v>
      </c>
      <c r="O7" s="52" t="s">
        <v>85</v>
      </c>
      <c r="P7" s="52" t="s">
        <v>85</v>
      </c>
      <c r="Q7" s="52" t="s">
        <v>85</v>
      </c>
    </row>
    <row r="8" spans="1:17" ht="15" customHeight="1" x14ac:dyDescent="0.15">
      <c r="A8" s="50" t="s">
        <v>84</v>
      </c>
      <c r="B8" s="48">
        <v>6841</v>
      </c>
      <c r="C8" s="48">
        <v>11920</v>
      </c>
      <c r="D8" s="48">
        <v>16442</v>
      </c>
      <c r="E8" s="48">
        <v>18434</v>
      </c>
      <c r="F8" s="48">
        <v>30724</v>
      </c>
      <c r="G8" s="48">
        <v>38515</v>
      </c>
      <c r="H8" s="48">
        <v>66064</v>
      </c>
      <c r="I8" s="48">
        <v>46327</v>
      </c>
      <c r="J8" s="48">
        <v>46752</v>
      </c>
      <c r="K8" s="48">
        <v>84946</v>
      </c>
      <c r="L8" s="48">
        <v>114364</v>
      </c>
      <c r="M8" s="48">
        <v>142436</v>
      </c>
      <c r="N8" s="48">
        <v>172056</v>
      </c>
      <c r="O8" s="48">
        <v>210079</v>
      </c>
      <c r="P8" s="48">
        <v>244061</v>
      </c>
      <c r="Q8" s="48">
        <v>279962</v>
      </c>
    </row>
    <row r="9" spans="1:17" ht="15" customHeight="1" x14ac:dyDescent="0.15">
      <c r="A9" s="52" t="s">
        <v>83</v>
      </c>
      <c r="B9" s="51">
        <v>-5066</v>
      </c>
      <c r="C9" s="51">
        <v>-6450</v>
      </c>
      <c r="D9" s="51">
        <v>-9876</v>
      </c>
      <c r="E9" s="51">
        <v>-27819</v>
      </c>
      <c r="F9" s="51">
        <v>-12369</v>
      </c>
      <c r="G9" s="51">
        <v>-24282</v>
      </c>
      <c r="H9" s="51">
        <v>-59612</v>
      </c>
      <c r="I9" s="51">
        <v>-58154</v>
      </c>
      <c r="J9" s="51">
        <v>-37601</v>
      </c>
      <c r="K9" s="51">
        <v>-49833</v>
      </c>
      <c r="L9" s="51">
        <v>-70567.5</v>
      </c>
      <c r="M9" s="51">
        <v>-71130.600000000006</v>
      </c>
      <c r="N9" s="51">
        <v>-74942</v>
      </c>
      <c r="O9" s="51">
        <v>-79012.800000000003</v>
      </c>
      <c r="P9" s="51">
        <v>-81779.3</v>
      </c>
      <c r="Q9" s="51">
        <v>-85077.6</v>
      </c>
    </row>
    <row r="10" spans="1:17" ht="15" customHeight="1" x14ac:dyDescent="0.15">
      <c r="A10" s="50" t="s">
        <v>82</v>
      </c>
      <c r="B10" s="48">
        <v>4433</v>
      </c>
      <c r="C10" s="49">
        <v>-3763</v>
      </c>
      <c r="D10" s="49">
        <v>-2911</v>
      </c>
      <c r="E10" s="48">
        <v>9861</v>
      </c>
      <c r="F10" s="49">
        <v>-7687</v>
      </c>
      <c r="G10" s="49">
        <v>-10066</v>
      </c>
      <c r="H10" s="49">
        <v>-1104</v>
      </c>
      <c r="I10" s="48">
        <v>6291</v>
      </c>
      <c r="J10" s="48">
        <v>9718</v>
      </c>
      <c r="K10" s="49">
        <v>-15879</v>
      </c>
      <c r="L10" s="49">
        <v>-7287.05</v>
      </c>
      <c r="M10" s="49">
        <v>-4106.33</v>
      </c>
      <c r="N10" s="49">
        <v>-3515.48</v>
      </c>
      <c r="O10" s="49">
        <v>-4625</v>
      </c>
      <c r="P10" s="49">
        <v>-1125</v>
      </c>
      <c r="Q10" s="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DCF</vt:lpstr>
      <vt:lpstr>WACC</vt:lpstr>
      <vt:lpstr>Shares</vt:lpstr>
      <vt:lpstr>Segments</vt:lpstr>
      <vt:lpstr>IS</vt:lpstr>
      <vt:lpstr>CFS</vt:lpstr>
      <vt:lpstr>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Heim,Jonah</cp:lastModifiedBy>
  <dcterms:created xsi:type="dcterms:W3CDTF">2024-07-17T20:30:35Z</dcterms:created>
  <dcterms:modified xsi:type="dcterms:W3CDTF">2026-01-02T14:28:11Z</dcterms:modified>
</cp:coreProperties>
</file>