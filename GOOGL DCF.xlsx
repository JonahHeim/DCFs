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xr:revisionPtr revIDLastSave="0" documentId="13_ncr:1_{0D38B5B6-BB4A-9A48-B71B-298D835C70E0}" xr6:coauthVersionLast="47" xr6:coauthVersionMax="47" xr10:uidLastSave="{00000000-0000-0000-0000-000000000000}"/>
  <bookViews>
    <workbookView xWindow="0" yWindow="660" windowWidth="29400" windowHeight="18460" activeTab="1" xr2:uid="{9F29138A-0914-854F-A9FA-C26256D076F7}"/>
  </bookViews>
  <sheets>
    <sheet name="Annual Financial" sheetId="1" r:id="rId1"/>
    <sheet name="DCF" sheetId="2" r:id="rId2"/>
    <sheet name="WACC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2" l="1"/>
  <c r="B126" i="2"/>
  <c r="B125" i="2"/>
  <c r="B124" i="2"/>
  <c r="B123" i="2"/>
  <c r="G122" i="2"/>
  <c r="F122" i="2"/>
  <c r="E122" i="2"/>
  <c r="D122" i="2"/>
  <c r="C122" i="2"/>
  <c r="B101" i="2"/>
  <c r="B99" i="2"/>
  <c r="B97" i="2"/>
  <c r="B89" i="2"/>
  <c r="J80" i="2"/>
  <c r="K80" i="2"/>
  <c r="L80" i="2" s="1"/>
  <c r="I80" i="2"/>
  <c r="L78" i="2"/>
  <c r="K78" i="2"/>
  <c r="J78" i="2"/>
  <c r="I78" i="2"/>
  <c r="H78" i="2"/>
  <c r="B21" i="3"/>
  <c r="B20" i="3"/>
  <c r="B19" i="3"/>
  <c r="B18" i="3"/>
  <c r="B17" i="3"/>
  <c r="B12" i="3"/>
  <c r="B8" i="3"/>
  <c r="D73" i="2"/>
  <c r="E73" i="2"/>
  <c r="G73" i="2"/>
  <c r="B72" i="2"/>
  <c r="B73" i="2" s="1"/>
  <c r="C72" i="2"/>
  <c r="C73" i="2" s="1"/>
  <c r="D72" i="2"/>
  <c r="E72" i="2"/>
  <c r="F72" i="2"/>
  <c r="G72" i="2"/>
  <c r="B71" i="2"/>
  <c r="B70" i="2"/>
  <c r="C70" i="2"/>
  <c r="D70" i="2"/>
  <c r="E70" i="2"/>
  <c r="F70" i="2"/>
  <c r="F71" i="2" s="1"/>
  <c r="G70" i="2"/>
  <c r="G71" i="2" s="1"/>
  <c r="F69" i="2"/>
  <c r="B68" i="2"/>
  <c r="C68" i="2"/>
  <c r="D68" i="2"/>
  <c r="D69" i="2" s="1"/>
  <c r="E68" i="2"/>
  <c r="E69" i="2" s="1"/>
  <c r="F68" i="2"/>
  <c r="G68" i="2"/>
  <c r="G69" i="2" s="1"/>
  <c r="B65" i="2"/>
  <c r="B67" i="2" s="1"/>
  <c r="B74" i="2" s="1"/>
  <c r="B75" i="2" s="1"/>
  <c r="C65" i="2"/>
  <c r="C67" i="2" s="1"/>
  <c r="C74" i="2" s="1"/>
  <c r="C75" i="2" s="1"/>
  <c r="B66" i="2"/>
  <c r="C66" i="2"/>
  <c r="D66" i="2"/>
  <c r="E66" i="2"/>
  <c r="F66" i="2"/>
  <c r="F65" i="2" s="1"/>
  <c r="G66" i="2"/>
  <c r="F64" i="2"/>
  <c r="B63" i="2"/>
  <c r="C63" i="2"/>
  <c r="D63" i="2"/>
  <c r="D65" i="2" s="1"/>
  <c r="E63" i="2"/>
  <c r="F63" i="2"/>
  <c r="G63" i="2"/>
  <c r="G64" i="2" s="1"/>
  <c r="B62" i="2"/>
  <c r="C62" i="2"/>
  <c r="D62" i="2"/>
  <c r="E62" i="2"/>
  <c r="F62" i="2"/>
  <c r="G62" i="2"/>
  <c r="B61" i="2"/>
  <c r="B69" i="2" s="1"/>
  <c r="C61" i="2"/>
  <c r="C71" i="2" s="1"/>
  <c r="D61" i="2"/>
  <c r="D71" i="2" s="1"/>
  <c r="E61" i="2"/>
  <c r="E71" i="2" s="1"/>
  <c r="F61" i="2"/>
  <c r="F73" i="2" s="1"/>
  <c r="G61" i="2"/>
  <c r="H57" i="2"/>
  <c r="B25" i="3" s="1"/>
  <c r="H56" i="2"/>
  <c r="B86" i="2" s="1"/>
  <c r="H55" i="2"/>
  <c r="I55" i="2"/>
  <c r="J55" i="2"/>
  <c r="K55" i="2"/>
  <c r="L55" i="2"/>
  <c r="H54" i="2"/>
  <c r="I54" i="2"/>
  <c r="J54" i="2"/>
  <c r="K54" i="2"/>
  <c r="L54" i="2"/>
  <c r="H53" i="2"/>
  <c r="I53" i="2"/>
  <c r="J53" i="2"/>
  <c r="K53" i="2"/>
  <c r="L53" i="2"/>
  <c r="H52" i="2"/>
  <c r="B13" i="3" s="1"/>
  <c r="I52" i="2"/>
  <c r="J52" i="2"/>
  <c r="K52" i="2"/>
  <c r="L52" i="2"/>
  <c r="H51" i="2"/>
  <c r="I51" i="2"/>
  <c r="J51" i="2"/>
  <c r="K51" i="2"/>
  <c r="L51" i="2"/>
  <c r="H50" i="2"/>
  <c r="I50" i="2"/>
  <c r="J50" i="2"/>
  <c r="K50" i="2"/>
  <c r="L50" i="2"/>
  <c r="B8" i="2"/>
  <c r="B9" i="2" s="1"/>
  <c r="B10" i="2"/>
  <c r="B12" i="2" s="1"/>
  <c r="B11" i="2"/>
  <c r="C4" i="2"/>
  <c r="E106" i="2" l="1"/>
  <c r="G106" i="2"/>
  <c r="F106" i="2"/>
  <c r="D106" i="2"/>
  <c r="C106" i="2"/>
  <c r="B14" i="3"/>
  <c r="B24" i="3" s="1"/>
  <c r="B26" i="3" s="1"/>
  <c r="B85" i="2" s="1"/>
  <c r="D115" i="2" s="1"/>
  <c r="D118" i="2"/>
  <c r="H61" i="2"/>
  <c r="F116" i="2"/>
  <c r="F67" i="2"/>
  <c r="F74" i="2" s="1"/>
  <c r="F75" i="2" s="1"/>
  <c r="D67" i="2"/>
  <c r="D74" i="2" s="1"/>
  <c r="D75" i="2" s="1"/>
  <c r="E64" i="2"/>
  <c r="G65" i="2"/>
  <c r="G67" i="2" s="1"/>
  <c r="G74" i="2" s="1"/>
  <c r="G75" i="2" s="1"/>
  <c r="D64" i="2"/>
  <c r="C64" i="2"/>
  <c r="E65" i="2"/>
  <c r="E67" i="2" s="1"/>
  <c r="E74" i="2" s="1"/>
  <c r="E75" i="2" s="1"/>
  <c r="C69" i="2"/>
  <c r="B64" i="2"/>
  <c r="B13" i="2"/>
  <c r="C118" i="2" l="1"/>
  <c r="E117" i="2"/>
  <c r="I81" i="2"/>
  <c r="B107" i="2"/>
  <c r="B108" i="2"/>
  <c r="B109" i="2"/>
  <c r="K81" i="2"/>
  <c r="B110" i="2"/>
  <c r="J81" i="2"/>
  <c r="H81" i="2"/>
  <c r="B111" i="2"/>
  <c r="L81" i="2"/>
  <c r="C116" i="2"/>
  <c r="E118" i="2"/>
  <c r="G119" i="2"/>
  <c r="E115" i="2"/>
  <c r="F115" i="2"/>
  <c r="E116" i="2"/>
  <c r="G117" i="2"/>
  <c r="E119" i="2"/>
  <c r="D116" i="2"/>
  <c r="G115" i="2"/>
  <c r="H62" i="2"/>
  <c r="H68" i="2"/>
  <c r="H69" i="2" s="1"/>
  <c r="H70" i="2"/>
  <c r="H71" i="2" s="1"/>
  <c r="H72" i="2"/>
  <c r="H73" i="2" s="1"/>
  <c r="I61" i="2"/>
  <c r="D119" i="2"/>
  <c r="F119" i="2"/>
  <c r="H63" i="2"/>
  <c r="H64" i="2" s="1"/>
  <c r="F117" i="2"/>
  <c r="C117" i="2"/>
  <c r="D117" i="2"/>
  <c r="G118" i="2"/>
  <c r="G116" i="2"/>
  <c r="C115" i="2"/>
  <c r="F118" i="2"/>
  <c r="C119" i="2"/>
  <c r="H65" i="2" l="1"/>
  <c r="H66" i="2" s="1"/>
  <c r="J61" i="2"/>
  <c r="I63" i="2"/>
  <c r="I70" i="2"/>
  <c r="I71" i="2" s="1"/>
  <c r="I72" i="2"/>
  <c r="I73" i="2" s="1"/>
  <c r="I68" i="2"/>
  <c r="I69" i="2" s="1"/>
  <c r="I62" i="2"/>
  <c r="H67" i="2"/>
  <c r="H74" i="2" s="1"/>
  <c r="J72" i="2" l="1"/>
  <c r="J73" i="2" s="1"/>
  <c r="J68" i="2"/>
  <c r="J69" i="2" s="1"/>
  <c r="J63" i="2"/>
  <c r="K61" i="2"/>
  <c r="J70" i="2"/>
  <c r="J71" i="2" s="1"/>
  <c r="J62" i="2"/>
  <c r="I65" i="2"/>
  <c r="I66" i="2" s="1"/>
  <c r="I64" i="2"/>
  <c r="I67" i="2"/>
  <c r="I74" i="2" s="1"/>
  <c r="H75" i="2"/>
  <c r="H79" i="2"/>
  <c r="H82" i="2" s="1"/>
  <c r="I75" i="2" l="1"/>
  <c r="I79" i="2"/>
  <c r="I82" i="2" s="1"/>
  <c r="K72" i="2"/>
  <c r="K73" i="2" s="1"/>
  <c r="K70" i="2"/>
  <c r="K71" i="2" s="1"/>
  <c r="K62" i="2"/>
  <c r="L61" i="2"/>
  <c r="K68" i="2"/>
  <c r="K69" i="2" s="1"/>
  <c r="K63" i="2"/>
  <c r="J64" i="2"/>
  <c r="J65" i="2"/>
  <c r="J66" i="2" s="1"/>
  <c r="J67" i="2" l="1"/>
  <c r="J74" i="2" s="1"/>
  <c r="J75" i="2"/>
  <c r="J79" i="2"/>
  <c r="J82" i="2" s="1"/>
  <c r="K64" i="2"/>
  <c r="K65" i="2"/>
  <c r="K66" i="2" s="1"/>
  <c r="K67" i="2"/>
  <c r="K74" i="2" s="1"/>
  <c r="L68" i="2"/>
  <c r="L69" i="2" s="1"/>
  <c r="L62" i="2"/>
  <c r="L70" i="2"/>
  <c r="L71" i="2" s="1"/>
  <c r="L63" i="2"/>
  <c r="L72" i="2"/>
  <c r="L73" i="2" s="1"/>
  <c r="K75" i="2" l="1"/>
  <c r="K79" i="2"/>
  <c r="K82" i="2" s="1"/>
  <c r="L65" i="2"/>
  <c r="L66" i="2" s="1"/>
  <c r="L64" i="2"/>
  <c r="L67" i="2"/>
  <c r="L74" i="2" s="1"/>
  <c r="D125" i="2" s="1" a="1"/>
  <c r="D125" i="2" s="1"/>
  <c r="D123" i="2" l="1" a="1"/>
  <c r="D123" i="2" s="1"/>
  <c r="F111" i="2" a="1"/>
  <c r="F111" i="2" s="1"/>
  <c r="D127" i="2" a="1"/>
  <c r="D127" i="2" s="1"/>
  <c r="E110" i="2" a="1"/>
  <c r="E110" i="2" s="1"/>
  <c r="G110" i="2" a="1"/>
  <c r="G110" i="2" s="1"/>
  <c r="F123" i="2" a="1"/>
  <c r="F123" i="2" s="1"/>
  <c r="C111" i="2" a="1"/>
  <c r="C111" i="2" s="1"/>
  <c r="D108" i="2" a="1"/>
  <c r="D108" i="2" s="1"/>
  <c r="F109" i="2" a="1"/>
  <c r="F109" i="2" s="1"/>
  <c r="C123" i="2" a="1"/>
  <c r="C123" i="2" s="1"/>
  <c r="L75" i="2"/>
  <c r="B87" i="2"/>
  <c r="B88" i="2" s="1"/>
  <c r="L79" i="2"/>
  <c r="L82" i="2" s="1"/>
  <c r="B94" i="2" s="1"/>
  <c r="D110" i="2" a="1"/>
  <c r="D110" i="2" s="1"/>
  <c r="F124" i="2" a="1"/>
  <c r="F124" i="2" s="1"/>
  <c r="E127" i="2" a="1"/>
  <c r="E127" i="2" s="1"/>
  <c r="F107" i="2" a="1"/>
  <c r="F107" i="2" s="1"/>
  <c r="E107" i="2" a="1"/>
  <c r="E107" i="2" s="1"/>
  <c r="F125" i="2" a="1"/>
  <c r="F125" i="2" s="1"/>
  <c r="D107" i="2" a="1"/>
  <c r="D107" i="2" s="1"/>
  <c r="C107" i="2" a="1"/>
  <c r="C107" i="2" s="1"/>
  <c r="E126" i="2" a="1"/>
  <c r="E126" i="2" s="1"/>
  <c r="C124" i="2" a="1"/>
  <c r="C124" i="2" s="1"/>
  <c r="G127" i="2" a="1"/>
  <c r="G127" i="2" s="1"/>
  <c r="E125" i="2" a="1"/>
  <c r="E125" i="2" s="1"/>
  <c r="C125" i="2" a="1"/>
  <c r="C125" i="2" s="1"/>
  <c r="D109" i="2" a="1"/>
  <c r="D109" i="2" s="1"/>
  <c r="E111" i="2" a="1"/>
  <c r="E111" i="2" s="1"/>
  <c r="D126" i="2" a="1"/>
  <c r="D126" i="2" s="1"/>
  <c r="C108" i="2" a="1"/>
  <c r="C108" i="2" s="1"/>
  <c r="F127" i="2" a="1"/>
  <c r="F127" i="2" s="1"/>
  <c r="G124" i="2" a="1"/>
  <c r="G124" i="2" s="1"/>
  <c r="G123" i="2" a="1"/>
  <c r="G123" i="2" s="1"/>
  <c r="F126" i="2" a="1"/>
  <c r="F126" i="2" s="1"/>
  <c r="E108" i="2" a="1"/>
  <c r="E108" i="2" s="1"/>
  <c r="C109" i="2" a="1"/>
  <c r="C109" i="2" s="1"/>
  <c r="G109" i="2" a="1"/>
  <c r="G109" i="2" s="1"/>
  <c r="G125" i="2" a="1"/>
  <c r="G125" i="2" s="1"/>
  <c r="G126" i="2" a="1"/>
  <c r="G126" i="2" s="1"/>
  <c r="E124" i="2" a="1"/>
  <c r="E124" i="2" s="1"/>
  <c r="E123" i="2" a="1"/>
  <c r="E123" i="2" s="1"/>
  <c r="D111" i="2" a="1"/>
  <c r="D111" i="2" s="1"/>
  <c r="F108" i="2" a="1"/>
  <c r="F108" i="2" s="1"/>
  <c r="G108" i="2" a="1"/>
  <c r="G108" i="2" s="1"/>
  <c r="F110" i="2" a="1"/>
  <c r="F110" i="2" s="1"/>
  <c r="D124" i="2" a="1"/>
  <c r="D124" i="2" s="1"/>
  <c r="C110" i="2" a="1"/>
  <c r="C110" i="2" s="1"/>
  <c r="C127" i="2" a="1"/>
  <c r="C127" i="2" s="1"/>
  <c r="G111" i="2" a="1"/>
  <c r="G111" i="2" s="1"/>
  <c r="G107" i="2" a="1"/>
  <c r="G107" i="2" s="1"/>
  <c r="C126" i="2" a="1"/>
  <c r="C126" i="2" s="1"/>
  <c r="E109" i="2" a="1"/>
  <c r="E109" i="2" s="1"/>
  <c r="B91" i="2" l="1"/>
  <c r="B90" i="2"/>
  <c r="B95" i="2" s="1"/>
  <c r="B96" i="2" l="1"/>
  <c r="B98" i="2" s="1"/>
  <c r="B100" i="2" s="1"/>
  <c r="B102" i="2" s="1"/>
  <c r="B103" i="2" l="1"/>
  <c r="B51" i="1" l="1"/>
  <c r="B55" i="1" s="1"/>
  <c r="B60" i="1" s="1"/>
  <c r="B54" i="1" l="1"/>
  <c r="B59" i="1" s="1"/>
  <c r="B56" i="1"/>
  <c r="B61" i="1" s="1"/>
  <c r="C51" i="1"/>
  <c r="C56" i="1" l="1"/>
  <c r="C54" i="1"/>
  <c r="C59" i="1" s="1"/>
  <c r="D51" i="1"/>
  <c r="C55" i="1"/>
  <c r="C60" i="1" s="1"/>
  <c r="C61" i="1" s="1"/>
  <c r="E51" i="1" l="1"/>
  <c r="D56" i="1"/>
  <c r="D54" i="1"/>
  <c r="D59" i="1" s="1"/>
  <c r="D55" i="1"/>
  <c r="D60" i="1" s="1"/>
  <c r="D61" i="1" s="1"/>
  <c r="E56" i="1" l="1"/>
  <c r="E54" i="1"/>
  <c r="E59" i="1" s="1"/>
  <c r="E55" i="1"/>
  <c r="E60" i="1" s="1"/>
  <c r="E61" i="1" s="1"/>
  <c r="F51" i="1"/>
  <c r="F54" i="1" l="1"/>
  <c r="F59" i="1" s="1"/>
  <c r="G51" i="1"/>
  <c r="F55" i="1"/>
  <c r="F60" i="1" s="1"/>
  <c r="F61" i="1" s="1"/>
  <c r="F56" i="1"/>
  <c r="G55" i="1" l="1"/>
  <c r="G56" i="1"/>
  <c r="B65" i="1" s="1"/>
  <c r="G54" i="1"/>
  <c r="B63" i="1" l="1"/>
  <c r="G59" i="1"/>
  <c r="B64" i="1"/>
  <c r="G60" i="1"/>
  <c r="G6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Jonah Heim</author>
  </authors>
  <commentList>
    <comment ref="B7" authorId="0" shapeId="0" xr:uid="{6529EBF2-F36C-5349-A2E5-DC3FAC1D0F59}">
      <text>
        <r>
          <rPr>
            <b/>
            <sz val="10"/>
            <color rgb="FF000000"/>
            <rFont val="Tahoma"/>
            <family val="2"/>
          </rPr>
          <t>Jonah Heim:</t>
        </r>
        <r>
          <rPr>
            <sz val="10"/>
            <color rgb="FF000000"/>
            <rFont val="Tahoma"/>
            <family val="2"/>
          </rPr>
          <t xml:space="preserve">
Source: CNBC quote page (UNOFFICIAL – user approved), GOOGL close 10/13/2026, https://www.cnbc.com/quotes/GOOGL. Also matches Morningstar $353.78.</t>
        </r>
      </text>
    </comment>
    <comment ref="A15" authorId="0" shapeId="0" xr:uid="{8DBAAB55-A74E-4149-A7B1-BDA967777F8F}">
      <text>
        <r>
          <rPr>
            <b/>
            <sz val="10"/>
            <color rgb="FF000000"/>
            <rFont val="Tahoma"/>
            <family val="2"/>
          </rPr>
          <t>Source: Analyst assumptions (10/14/2026), calibrated to 'Annual Financial' FY2020A–LTM Jun-25 history.</t>
        </r>
      </text>
    </comment>
    <comment ref="A26" authorId="0" shapeId="0" xr:uid="{5381AF6C-D67B-C64E-8B1A-9FC4AE684EFC}">
      <text>
        <r>
          <rPr>
            <b/>
            <sz val="10"/>
            <color rgb="FF000000"/>
            <rFont val="Tahoma"/>
            <family val="2"/>
          </rPr>
          <t>Source: Analyst assumptions (10/14/2026), calibrated to 'Annual Financial' FY2020A–LTM Jun-25 history; revenue growth from draft DCF ('Annual Financial'!B52:F52). Rationale in B28:B35.</t>
        </r>
      </text>
    </comment>
    <comment ref="A37" authorId="0" shapeId="0" xr:uid="{6E599867-02B7-7E41-8BE6-060D1A0EE655}">
      <text>
        <r>
          <rPr>
            <b/>
            <sz val="10"/>
            <color rgb="FF000000"/>
            <rFont val="Tahoma"/>
            <family val="2"/>
          </rPr>
          <t>Source: Analyst assumptions (10/14/2026), calibrated to 'Annual Financial' FY2020A–LTM Jun-25 history.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tc={35023D72-26EB-8D42-B27E-64D2F54C1268}</author>
    <author>tc={C718DAC0-211F-B94A-8ADE-9DE5B6D5F454}</author>
    <author>tc={7915CC78-F750-6645-976F-D145040E5E6D}</author>
    <author>tc={B861DB83-CDBB-0F4E-B7AF-290B749B3313}</author>
  </authors>
  <commentList>
    <comment ref="B5" authorId="0" shapeId="0" xr:uid="{35023D72-26EB-8D42-B27E-64D2F54C126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U.S. Treasury, Daily Treasury Par Yield Curve Rates, 10/13/2026, 10 Yr = 5.21%, https://home.treasury.gov/resource-center/data-chart-center/interest-rates/daily-treasury-rates.csv/2026/all?type=daily_treasury_yield_curve</t>
      </text>
    </comment>
    <comment ref="B6" authorId="1" shapeId="0" xr:uid="{C718DAC0-211F-B94A-8ADE-9DE5B6D5F45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CNBC quote page (UNOFFICIAL – user approved), Beta 1.20, accessed 10/14/2026, https://www.cnbc.com/quotes/GOOGL</t>
      </text>
    </comment>
    <comment ref="B7" authorId="2" shapeId="0" xr:uid="{7915CC78-F750-6645-976F-D145040E5E6D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Analyst assumption, 10/14/2026 – 5.5% equity risk premium (standard 5.0–6.0% range).</t>
      </text>
    </comment>
    <comment ref="B11" authorId="3" shapeId="0" xr:uid="{B861DB83-CDBB-0F4E-B7AF-290B749B331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Analyst assumption, 10/14/2026 – ~60bp spread typical for AA+ 10Y corporate debt.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<sst xmlns="http://schemas.openxmlformats.org/spreadsheetml/2006/main" count="576" uniqueCount="452">
  <si>
    <t>Fiscal Year</t>
  </si>
  <si>
    <t>TTM</t>
  </si>
  <si>
    <t>FY 2024</t>
  </si>
  <si>
    <t>FY 2023</t>
  </si>
  <si>
    <t>FY 2022</t>
  </si>
  <si>
    <t>FY 2021</t>
  </si>
  <si>
    <t>FY 2020</t>
  </si>
  <si>
    <t>Period Ending</t>
  </si>
  <si>
    <t>Cash &amp; Equivalents</t>
  </si>
  <si>
    <t>Short-Term Investments</t>
  </si>
  <si>
    <t>Cash &amp; Short-Term Investments</t>
  </si>
  <si>
    <t>Cash Growth</t>
  </si>
  <si>
    <t>Accounts Receivable</t>
  </si>
  <si>
    <t>-</t>
  </si>
  <si>
    <t>Receivables</t>
  </si>
  <si>
    <t>Other Current Assets</t>
  </si>
  <si>
    <t>Total Current Assets</t>
  </si>
  <si>
    <t>Property, Plant &amp; Equipment</t>
  </si>
  <si>
    <t>Long-Term Investments</t>
  </si>
  <si>
    <t>Goodwill</t>
  </si>
  <si>
    <t>Long-Term Deferred Tax Assets</t>
  </si>
  <si>
    <t>Other Long-Term Assets</t>
  </si>
  <si>
    <t>Total Assets</t>
  </si>
  <si>
    <t>Accounts Payable</t>
  </si>
  <si>
    <t>Accrued Expenses</t>
  </si>
  <si>
    <t>Current Portion of Long-Term Debt</t>
  </si>
  <si>
    <t>Current Portion of Leases</t>
  </si>
  <si>
    <t>Current Income Taxes Payable</t>
  </si>
  <si>
    <t>Current Unearned Revenue</t>
  </si>
  <si>
    <t>Other Current Liabilities</t>
  </si>
  <si>
    <t>Total Current Liabilities</t>
  </si>
  <si>
    <t>Long-Term Debt</t>
  </si>
  <si>
    <t>Long-Term Leases</t>
  </si>
  <si>
    <t>Other Long-Term Liabilities</t>
  </si>
  <si>
    <t>Total Liabilities</t>
  </si>
  <si>
    <t>Common Stock</t>
  </si>
  <si>
    <t>Retained Earnings</t>
  </si>
  <si>
    <t>Comprehensive Income &amp; Other</t>
  </si>
  <si>
    <t>Shareholders' Equity</t>
  </si>
  <si>
    <t>Total Liabilities &amp; Equity</t>
  </si>
  <si>
    <t>Total Debt</t>
  </si>
  <si>
    <t>Net Cash (Debt)</t>
  </si>
  <si>
    <t>Net Cash Growth</t>
  </si>
  <si>
    <t>Net Cash Per Share</t>
  </si>
  <si>
    <t>Filing Date Shares Outstanding</t>
  </si>
  <si>
    <t>Total Common Shares Outstanding</t>
  </si>
  <si>
    <t>Working Capital</t>
  </si>
  <si>
    <t>Book Value Per Share</t>
  </si>
  <si>
    <t>Tangible Book Value</t>
  </si>
  <si>
    <t>Tangible Book Value Per Share</t>
  </si>
  <si>
    <t xml:space="preserve">Balance Sheet </t>
  </si>
  <si>
    <t xml:space="preserve">Income Statement </t>
  </si>
  <si>
    <t>Revenue</t>
  </si>
  <si>
    <t>Revenue Growth (YoY)</t>
  </si>
  <si>
    <t>Cost of Revenue</t>
  </si>
  <si>
    <t>Gross Profit</t>
  </si>
  <si>
    <t>Selling, General &amp; Admin</t>
  </si>
  <si>
    <t>Research &amp; Development</t>
  </si>
  <si>
    <t>Operating Expenses</t>
  </si>
  <si>
    <t>Operating Income</t>
  </si>
  <si>
    <t>Interest Expense</t>
  </si>
  <si>
    <t>Interest &amp; Investment Income</t>
  </si>
  <si>
    <t>Earnings From Equity Investments</t>
  </si>
  <si>
    <t>Currency Exchange Gain (Loss)</t>
  </si>
  <si>
    <t>Other Non Operating Income (Expenses)</t>
  </si>
  <si>
    <t>EBT Excluding Unusual Items</t>
  </si>
  <si>
    <t>Merger &amp; Restructuring Charges</t>
  </si>
  <si>
    <t>Gain (Loss) on Sale of Investments</t>
  </si>
  <si>
    <t>Pretax Income</t>
  </si>
  <si>
    <t>Income Tax Expense</t>
  </si>
  <si>
    <t>Earnings From Continuing Operations</t>
  </si>
  <si>
    <t>Net Income</t>
  </si>
  <si>
    <t>Net Income to Common</t>
  </si>
  <si>
    <t>Net Income Growth</t>
  </si>
  <si>
    <t>Shares Outstanding (Basic)</t>
  </si>
  <si>
    <t>Shares Outstanding (Diluted)</t>
  </si>
  <si>
    <t>Shares Change (YoY)</t>
  </si>
  <si>
    <t>EPS (Basic)</t>
  </si>
  <si>
    <t>EPS (Diluted)</t>
  </si>
  <si>
    <t>EPS Growth</t>
  </si>
  <si>
    <t>Free Cash Flow</t>
  </si>
  <si>
    <t>Free Cash Flow Per Share</t>
  </si>
  <si>
    <t>Dividend Per Share</t>
  </si>
  <si>
    <t>Gross Margin</t>
  </si>
  <si>
    <t>Operating Margin</t>
  </si>
  <si>
    <t>Profit Margin</t>
  </si>
  <si>
    <t>Free Cash Flow Margin</t>
  </si>
  <si>
    <t>EBITDA</t>
  </si>
  <si>
    <t>EBITDA Margin</t>
  </si>
  <si>
    <t>D&amp;A For EBITDA</t>
  </si>
  <si>
    <t>EBIT</t>
  </si>
  <si>
    <t>EBIT Margin</t>
  </si>
  <si>
    <t>Effective Tax Rate</t>
  </si>
  <si>
    <t>Advertising Expenses</t>
  </si>
  <si>
    <t xml:space="preserve">Cash Flow </t>
  </si>
  <si>
    <t>Depreciation &amp; Amortization</t>
  </si>
  <si>
    <t>Asset Writedown &amp; Restructuring Costs</t>
  </si>
  <si>
    <t>Loss (Gain) From Sale of Investments</t>
  </si>
  <si>
    <t>Stock-Based Compensation</t>
  </si>
  <si>
    <t>Other Operating Activities</t>
  </si>
  <si>
    <t>Change in Accounts Receivable</t>
  </si>
  <si>
    <t>Change in Accounts Payable</t>
  </si>
  <si>
    <t>Change in Unearned Revenue</t>
  </si>
  <si>
    <t>Change in Income Taxes</t>
  </si>
  <si>
    <t>Change in Other Net Operating Assets</t>
  </si>
  <si>
    <t>Operating Cash Flow</t>
  </si>
  <si>
    <t>Operating Cash Flow Growth</t>
  </si>
  <si>
    <t>Capital Expenditures</t>
  </si>
  <si>
    <t>Cash Acquisitions</t>
  </si>
  <si>
    <t>Investment in Securities</t>
  </si>
  <si>
    <t>Other Investing Activities</t>
  </si>
  <si>
    <t>Investing Cash Flow</t>
  </si>
  <si>
    <t>Long-Term Debt Issued</t>
  </si>
  <si>
    <t>Long-Term Debt Repaid</t>
  </si>
  <si>
    <t>Net Debt Issued (Repaid)</t>
  </si>
  <si>
    <t>Repurchase of Common Stock</t>
  </si>
  <si>
    <t>Common Dividends Paid</t>
  </si>
  <si>
    <t>Other Financing Activities</t>
  </si>
  <si>
    <t>Financing Cash Flow</t>
  </si>
  <si>
    <t>Foreign Exchange Rate Adjustments</t>
  </si>
  <si>
    <t>Net Cash Flow</t>
  </si>
  <si>
    <t>Free Cash Flow Growth</t>
  </si>
  <si>
    <t>Cash Income Tax Paid</t>
  </si>
  <si>
    <t>Levered Free Cash Flow</t>
  </si>
  <si>
    <t>Unlevered Free Cash Flow</t>
  </si>
  <si>
    <t>Change in Working Capital</t>
  </si>
  <si>
    <t>Ratios</t>
  </si>
  <si>
    <t>Current</t>
  </si>
  <si>
    <t>Market Capitalization</t>
  </si>
  <si>
    <t>Market Cap Growth</t>
  </si>
  <si>
    <t>Enterprise Value</t>
  </si>
  <si>
    <t>Last Close Price</t>
  </si>
  <si>
    <t>PE Ratio</t>
  </si>
  <si>
    <t>Forward PE</t>
  </si>
  <si>
    <t>PS Ratio</t>
  </si>
  <si>
    <t>PB Ratio</t>
  </si>
  <si>
    <t>P/TBV Ratio</t>
  </si>
  <si>
    <t>P/FCF Ratio</t>
  </si>
  <si>
    <t>P/OCF Ratio</t>
  </si>
  <si>
    <t>PEG Ratio</t>
  </si>
  <si>
    <t>EV/Sales Ratio</t>
  </si>
  <si>
    <t>EV/EBITDA Ratio</t>
  </si>
  <si>
    <t>EV/EBIT Ratio</t>
  </si>
  <si>
    <t>EV/FCF Ratio</t>
  </si>
  <si>
    <t>Debt / Equity Ratio</t>
  </si>
  <si>
    <t>Debt / EBITDA Ratio</t>
  </si>
  <si>
    <t>Debt / FCF Ratio</t>
  </si>
  <si>
    <t>Asset Turnover</t>
  </si>
  <si>
    <t>Quick Ratio</t>
  </si>
  <si>
    <t>Current Ratio</t>
  </si>
  <si>
    <t>Return on Equity (ROE)</t>
  </si>
  <si>
    <t>Return on Assets (ROA)</t>
  </si>
  <si>
    <t>Return on Capital (ROIC)</t>
  </si>
  <si>
    <t>Return on Capital Employed (ROCE)</t>
  </si>
  <si>
    <t>Earnings Yield</t>
  </si>
  <si>
    <t>FCF Yield</t>
  </si>
  <si>
    <t>Dividend Yield</t>
  </si>
  <si>
    <t>Payout Ratio</t>
  </si>
  <si>
    <t>Buyback Yield / Dilution</t>
  </si>
  <si>
    <t>Total Shareholder Return</t>
  </si>
  <si>
    <t>Google Search &amp; Other</t>
  </si>
  <si>
    <t>208.31B</t>
  </si>
  <si>
    <t>202.63B</t>
  </si>
  <si>
    <t>198.08B</t>
  </si>
  <si>
    <t>192.07B</t>
  </si>
  <si>
    <t>186.71B</t>
  </si>
  <si>
    <t>180.83B</t>
  </si>
  <si>
    <t>175.03B</t>
  </si>
  <si>
    <t>169.62B</t>
  </si>
  <si>
    <t>Advertising</t>
  </si>
  <si>
    <t>110.91B</t>
  </si>
  <si>
    <t>106.02B</t>
  </si>
  <si>
    <t>100.61B</t>
  </si>
  <si>
    <t>95.38B</t>
  </si>
  <si>
    <t>90.55B</t>
  </si>
  <si>
    <t>86.30B</t>
  </si>
  <si>
    <t>82.77B</t>
  </si>
  <si>
    <t>79.38B</t>
  </si>
  <si>
    <t>Google Cloud</t>
  </si>
  <si>
    <t>49.19B</t>
  </si>
  <si>
    <t>45.92B</t>
  </si>
  <si>
    <t>43.23B</t>
  </si>
  <si>
    <t>40.47B</t>
  </si>
  <si>
    <t>37.52B</t>
  </si>
  <si>
    <t>35.21B</t>
  </si>
  <si>
    <t>33.09B</t>
  </si>
  <si>
    <t>31.21B</t>
  </si>
  <si>
    <t>Google Subscriptions, Platforms &amp; Devices</t>
  </si>
  <si>
    <t>43.87B</t>
  </si>
  <si>
    <t>41.98B</t>
  </si>
  <si>
    <t>40.34B</t>
  </si>
  <si>
    <t>39.50B</t>
  </si>
  <si>
    <t>37.18B</t>
  </si>
  <si>
    <t>36.01B</t>
  </si>
  <si>
    <t>34.69B</t>
  </si>
  <si>
    <t>32.69B</t>
  </si>
  <si>
    <t>YouTube Ads</t>
  </si>
  <si>
    <t>38.12B</t>
  </si>
  <si>
    <t>36.98B</t>
  </si>
  <si>
    <t>36.15B</t>
  </si>
  <si>
    <t>34.87B</t>
  </si>
  <si>
    <t>33.91B</t>
  </si>
  <si>
    <t>32.91B</t>
  </si>
  <si>
    <t>31.51B</t>
  </si>
  <si>
    <t>30.27B</t>
  </si>
  <si>
    <t>Google Network</t>
  </si>
  <si>
    <t>30.11B</t>
  </si>
  <si>
    <t>30.20B</t>
  </si>
  <si>
    <t>30.36B</t>
  </si>
  <si>
    <t>30.70B</t>
  </si>
  <si>
    <t>30.82B</t>
  </si>
  <si>
    <t>31.23B</t>
  </si>
  <si>
    <t>31.31B</t>
  </si>
  <si>
    <t>31.49B</t>
  </si>
  <si>
    <t>Other Bets</t>
  </si>
  <si>
    <t>1.61B</t>
  </si>
  <si>
    <t>1.60B</t>
  </si>
  <si>
    <t>1.65B</t>
  </si>
  <si>
    <t>1.91B</t>
  </si>
  <si>
    <t>1.81B</t>
  </si>
  <si>
    <t>1.73B</t>
  </si>
  <si>
    <t>1.53B</t>
  </si>
  <si>
    <t>1.10B</t>
  </si>
  <si>
    <t>Hedging Gains</t>
  </si>
  <si>
    <t>185.00M</t>
  </si>
  <si>
    <t>300.00M</t>
  </si>
  <si>
    <t>112.00M</t>
  </si>
  <si>
    <t>242.00M</t>
  </si>
  <si>
    <t>224.00M</t>
  </si>
  <si>
    <t>236.00M</t>
  </si>
  <si>
    <t>755.00M</t>
  </si>
  <si>
    <t xml:space="preserve">Revune By Segment </t>
  </si>
  <si>
    <t>Date</t>
  </si>
  <si>
    <t>165.13B</t>
  </si>
  <si>
    <t>76.06B</t>
  </si>
  <si>
    <t>29.67B</t>
  </si>
  <si>
    <t>31.25B</t>
  </si>
  <si>
    <t>29.39B</t>
  </si>
  <si>
    <t>31.69B</t>
  </si>
  <si>
    <t>1.01B</t>
  </si>
  <si>
    <t>1.39B</t>
  </si>
  <si>
    <t>163.19B</t>
  </si>
  <si>
    <t>73.02B</t>
  </si>
  <si>
    <t>27.91B</t>
  </si>
  <si>
    <t>29.66B</t>
  </si>
  <si>
    <t>29.07B</t>
  </si>
  <si>
    <t>32.10B</t>
  </si>
  <si>
    <t>916.00M</t>
  </si>
  <si>
    <t>1.77B</t>
  </si>
  <si>
    <t>162.45B</t>
  </si>
  <si>
    <t>26.28B</t>
  </si>
  <si>
    <t>29.06B</t>
  </si>
  <si>
    <t>29.24B</t>
  </si>
  <si>
    <t>32.78B</t>
  </si>
  <si>
    <t>1.07B</t>
  </si>
  <si>
    <t>1.96B</t>
  </si>
  <si>
    <t>163.15B</t>
  </si>
  <si>
    <t>24.51B</t>
  </si>
  <si>
    <t>28.42B</t>
  </si>
  <si>
    <t>29.91B</t>
  </si>
  <si>
    <t>33.61B</t>
  </si>
  <si>
    <t>1.02B</t>
  </si>
  <si>
    <t>1.49B</t>
  </si>
  <si>
    <t>161.53B</t>
  </si>
  <si>
    <t>22.63B</t>
  </si>
  <si>
    <t>28.28B</t>
  </si>
  <si>
    <t>30.05B</t>
  </si>
  <si>
    <t>33.74B</t>
  </si>
  <si>
    <t>996.00M</t>
  </si>
  <si>
    <t>918.00M</t>
  </si>
  <si>
    <t>156.69B</t>
  </si>
  <si>
    <t>20.98B</t>
  </si>
  <si>
    <t>28.35B</t>
  </si>
  <si>
    <t>29.71B</t>
  </si>
  <si>
    <t>33.08B</t>
  </si>
  <si>
    <t>995.00M</t>
  </si>
  <si>
    <t>536.00M</t>
  </si>
  <si>
    <t>148.95B</t>
  </si>
  <si>
    <t>19.21B</t>
  </si>
  <si>
    <t>28.03B</t>
  </si>
  <si>
    <t>28.85B</t>
  </si>
  <si>
    <t>31.70B</t>
  </si>
  <si>
    <t>753.00M</t>
  </si>
  <si>
    <t>149.00M</t>
  </si>
  <si>
    <t>137.55B</t>
  </si>
  <si>
    <t>17.50B</t>
  </si>
  <si>
    <t>26.55B</t>
  </si>
  <si>
    <t>27.10B</t>
  </si>
  <si>
    <t>29.81B</t>
  </si>
  <si>
    <t>768.00M</t>
  </si>
  <si>
    <t>-56.00M</t>
  </si>
  <si>
    <t>125.97B</t>
  </si>
  <si>
    <t>15.95B</t>
  </si>
  <si>
    <t>25.27B</t>
  </si>
  <si>
    <t>24.93B</t>
  </si>
  <si>
    <t>27.53B</t>
  </si>
  <si>
    <t>764.00M</t>
  </si>
  <si>
    <t>-140.00M</t>
  </si>
  <si>
    <t>111.44B</t>
  </si>
  <si>
    <t>14.33B</t>
  </si>
  <si>
    <t>23.77B</t>
  </si>
  <si>
    <t>21.74B</t>
  </si>
  <si>
    <t>24.67B</t>
  </si>
  <si>
    <t>720.00M</t>
  </si>
  <si>
    <t>18.00M</t>
  </si>
  <si>
    <t>104.06B</t>
  </si>
  <si>
    <t>13.06B</t>
  </si>
  <si>
    <t>21.71B</t>
  </si>
  <si>
    <t>19.77B</t>
  </si>
  <si>
    <t>23.09B</t>
  </si>
  <si>
    <t>657.00M</t>
  </si>
  <si>
    <t>176.00M</t>
  </si>
  <si>
    <t>99.34B</t>
  </si>
  <si>
    <t>11.84B</t>
  </si>
  <si>
    <t>19.09B</t>
  </si>
  <si>
    <t>17.60B</t>
  </si>
  <si>
    <t>633.00M</t>
  </si>
  <si>
    <t>269.00M</t>
  </si>
  <si>
    <t xml:space="preserve">DCF Modal </t>
  </si>
  <si>
    <t xml:space="preserve">Year </t>
  </si>
  <si>
    <t xml:space="preserve">Revune </t>
  </si>
  <si>
    <t xml:space="preserve">Rev Growth Rate </t>
  </si>
  <si>
    <t xml:space="preserve">Cash Flow Margin Historical AV = 22% </t>
  </si>
  <si>
    <t xml:space="preserve">Cash Flow Margin Conservative  = 17% </t>
  </si>
  <si>
    <t xml:space="preserve">Cash Flow Margin Bullish  = 25% </t>
  </si>
  <si>
    <t xml:space="preserve">DCF Historical </t>
  </si>
  <si>
    <t xml:space="preserve">DCF Bulish </t>
  </si>
  <si>
    <t xml:space="preserve">DCF Conservative </t>
  </si>
  <si>
    <t>WACC  = 12% or  0.1185</t>
  </si>
  <si>
    <t xml:space="preserve">Terminal Value  Historical </t>
  </si>
  <si>
    <t>Terminal Value  Bullish</t>
  </si>
  <si>
    <t xml:space="preserve">Terminal Value  Conservative </t>
  </si>
  <si>
    <t xml:space="preserve">Enterprise Value Historical </t>
  </si>
  <si>
    <t>Enterprise Value Bullish</t>
  </si>
  <si>
    <t xml:space="preserve">Enterprise Value Conservative </t>
  </si>
  <si>
    <t>=</t>
  </si>
  <si>
    <t>Alphabet Inc. (GOOGL) – 5-Year DCF Model</t>
  </si>
  <si>
    <t>Ticker: GOOGL | Valuation date: 10/14/2026 | $ in millions except per-share | Historicals from 'Annual Financial' (LTM = TTM ending 6/30/2025)</t>
  </si>
  <si>
    <t>Case selector (1 = Bear, 2 = Base, 3 = Bull)</t>
  </si>
  <si>
    <t>MARKET DATA &amp; CAPITAL STRUCTURE</t>
  </si>
  <si>
    <t>Current share price ($)</t>
  </si>
  <si>
    <t>Diluted shares outstanding (mm)</t>
  </si>
  <si>
    <t>Market capitalization</t>
  </si>
  <si>
    <t>Total debt</t>
  </si>
  <si>
    <t>Cash &amp; short-term investments</t>
  </si>
  <si>
    <t>Net debt / (net cash)</t>
  </si>
  <si>
    <t>Market enterprise value</t>
  </si>
  <si>
    <t>Close 10/13/2026 – unofficial source (CNBC), see note</t>
  </si>
  <si>
    <t>LTM diluted shares (6/30/2025)</t>
  </si>
  <si>
    <t>Negative = net cash (added to equity value)</t>
  </si>
  <si>
    <t>BEAR CASE ASSUMPTIONS</t>
  </si>
  <si>
    <t>Assumption</t>
  </si>
  <si>
    <t>FY2026E</t>
  </si>
  <si>
    <t>FY2027E</t>
  </si>
  <si>
    <t>FY2028E</t>
  </si>
  <si>
    <t>FY2029E</t>
  </si>
  <si>
    <t>FY2030E</t>
  </si>
  <si>
    <t>Revenue growth (%)</t>
  </si>
  <si>
    <t>EBIT margin (%)</t>
  </si>
  <si>
    <t>Tax rate (%)</t>
  </si>
  <si>
    <t>D&amp;A (% of revenue)</t>
  </si>
  <si>
    <t>CapEx (% of revenue)</t>
  </si>
  <si>
    <t>Δ NWC (% of Δ revenue)</t>
  </si>
  <si>
    <t>Terminal growth rate (%)</t>
  </si>
  <si>
    <t>WACC adjustment vs. base WACC (%)</t>
  </si>
  <si>
    <t>BASE CASE ASSUMPTIONS</t>
  </si>
  <si>
    <t>BULL CASE ASSUMPTIONS</t>
  </si>
  <si>
    <t>SELECTED CASE (drives the model – pulls from block chosen in B4)</t>
  </si>
  <si>
    <t>Starts from your draft (14/12/11/10/10%); LTM growth 13.1%</t>
  </si>
  <si>
    <t>LTM EBIT margin 33.2%; FY24 32.6%</t>
  </si>
  <si>
    <t>LTM effective 17.3%; cash taxes ~20% of pretax</t>
  </si>
  <si>
    <t>LTM 4.8%; rises as AI capex depreciates</t>
  </si>
  <si>
    <t>LTM 18.0% (FY24 15.0%); normalizes from AI build-out peak</t>
  </si>
  <si>
    <t>FY23-24 hist. ~16-20% of Δrev; assume 10%</t>
  </si>
  <si>
    <t>Below LT nominal GDP and 10Y yield</t>
  </si>
  <si>
    <t>Base = WACC sheet</t>
  </si>
  <si>
    <t>HISTORICAL &amp; PROJECTED FREE CASH FLOW ($mm)</t>
  </si>
  <si>
    <t>Fiscal year</t>
  </si>
  <si>
    <t>FY2020A</t>
  </si>
  <si>
    <t>FY2021A</t>
  </si>
  <si>
    <t>FY2022A</t>
  </si>
  <si>
    <t>FY2023A</t>
  </si>
  <si>
    <t>FY2024A</t>
  </si>
  <si>
    <t>LTM Jun-25</t>
  </si>
  <si>
    <t xml:space="preserve">  % growth</t>
  </si>
  <si>
    <t xml:space="preserve">  % margin</t>
  </si>
  <si>
    <t>(–) Taxes on EBIT</t>
  </si>
  <si>
    <t xml:space="preserve">  Tax rate</t>
  </si>
  <si>
    <t>NOPAT</t>
  </si>
  <si>
    <t>(+) D&amp;A</t>
  </si>
  <si>
    <t xml:space="preserve">  % of revenue</t>
  </si>
  <si>
    <t>(–) CapEx</t>
  </si>
  <si>
    <t>(–) Increase in NWC</t>
  </si>
  <si>
    <t xml:space="preserve">  % of Δ revenue</t>
  </si>
  <si>
    <t>Unlevered free cash flow</t>
  </si>
  <si>
    <t xml:space="preserve">  % FCF margin</t>
  </si>
  <si>
    <t>Alphabet Inc. (GOOGL) – Weighted Average Cost of Capital</t>
  </si>
  <si>
    <t>$mm unless noted | Valuation date 10/14/2026</t>
  </si>
  <si>
    <t>COST OF EQUITY (CAPM)</t>
  </si>
  <si>
    <t>Risk-free rate (10Y UST)</t>
  </si>
  <si>
    <t>Levered beta</t>
  </si>
  <si>
    <t>Equity risk premium</t>
  </si>
  <si>
    <t>Cost of equity</t>
  </si>
  <si>
    <t>COST OF DEBT</t>
  </si>
  <si>
    <t>Credit spread over UST (AA+ rated)</t>
  </si>
  <si>
    <t>Pre-tax cost of debt</t>
  </si>
  <si>
    <t>Tax rate</t>
  </si>
  <si>
    <t>After-tax cost of debt</t>
  </si>
  <si>
    <t>CAPITAL STRUCTURE (MARKET VALUES)</t>
  </si>
  <si>
    <t>Total debt (incl. leases)</t>
  </si>
  <si>
    <t>Total capitalization</t>
  </si>
  <si>
    <t>Equity weight</t>
  </si>
  <si>
    <t>Debt weight</t>
  </si>
  <si>
    <t>WACC</t>
  </si>
  <si>
    <t>Base WACC</t>
  </si>
  <si>
    <t>Scenario adjustment (selected case)</t>
  </si>
  <si>
    <t>WACC – selected case</t>
  </si>
  <si>
    <t>U.S. Treasury par yield, 10/13/2026</t>
  </si>
  <si>
    <t>CNBC (unofficial), see note</t>
  </si>
  <si>
    <t>Analyst assumption (mature-market ERP)</t>
  </si>
  <si>
    <t>Analyst assumption; Alphabet rated AA+ (S&amp;P)</t>
  </si>
  <si>
    <t>Gross debt used for weights (Alphabet is net cash)</t>
  </si>
  <si>
    <t>Bear +1.0% / Base 0% / Bull –1.0%</t>
  </si>
  <si>
    <t>DISCOUNTING (MID-YEAR CONVENTION)</t>
  </si>
  <si>
    <t>($mm)</t>
  </si>
  <si>
    <t>Discount period (years)</t>
  </si>
  <si>
    <t>Discount factor</t>
  </si>
  <si>
    <t>PV of free cash flow</t>
  </si>
  <si>
    <t>TERMINAL VALUE (PERPETUITY GROWTH)</t>
  </si>
  <si>
    <t>WACC (selected case)</t>
  </si>
  <si>
    <t>Terminal growth rate</t>
  </si>
  <si>
    <t>Terminal-year FCF (FY2031E)</t>
  </si>
  <si>
    <t>Terminal value at FY2030E</t>
  </si>
  <si>
    <t>Discount period</t>
  </si>
  <si>
    <t>PV of terminal value</t>
  </si>
  <si>
    <t>Implied exit EV / EBITDA (FY2030E)</t>
  </si>
  <si>
    <t>VALUATION SUMMARY</t>
  </si>
  <si>
    <t>Sum of PV of FCF (FY2026E–FY2030E)</t>
  </si>
  <si>
    <t>Enterprise value</t>
  </si>
  <si>
    <t>(+) Net cash / (–) net debt</t>
  </si>
  <si>
    <t>Equity value</t>
  </si>
  <si>
    <t>IMPLIED VALUE PER SHARE ($)</t>
  </si>
  <si>
    <t>Implied upside / (downside)</t>
  </si>
  <si>
    <t>Terminal value as % of EV</t>
  </si>
  <si>
    <t>Mid-year: TV discounted at final-year period</t>
  </si>
  <si>
    <t>Valuation as of start of FY2026; FY2026E grown off LTM Jun-25</t>
  </si>
  <si>
    <t>SENSITIVITY 1: IMPLIED VALUE PER SHARE – WACC (rows) vs. TERMINAL GROWTH (columns)</t>
  </si>
  <si>
    <t>WACC \ g</t>
  </si>
  <si>
    <t>Growth Δ \ Margin Δ</t>
  </si>
  <si>
    <t>SENSITIVITY 2: IMPLIED VALUE PER SHARE – REVENUE GROWTH Δ (rows) vs. EBIT MARGIN Δ (columns), applied to every year of selected case</t>
  </si>
  <si>
    <t>SENSITIVITY 3: IMPLIED VALUE PER SHARE – BETA (rows) vs. RISK-FREE RATE (columns)</t>
  </si>
  <si>
    <t>Beta \ 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</si>
</sst>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0.0000"/>
    <numFmt numFmtId="166" formatCode="0.00000000000000000%"/>
    <numFmt numFmtId="167" formatCode="&quot;$&quot;#,##0.00"/>
    <numFmt numFmtId="168" formatCode="&quot;$&quot;#,##0;\(&quot;$&quot;#,##0\);\-"/>
    <numFmt numFmtId="169" formatCode="0.0%;\(0.0%\);\-"/>
    <numFmt numFmtId="170" formatCode="0.00%;\(0.00%\);\-"/>
    <numFmt numFmtId="171" formatCode="0.0"/>
    <numFmt numFmtId="172" formatCode="0.0\x"/>
    <numFmt numFmtId="177" formatCode="0.0%;\(0.0%\);0.0%"/>
    <numFmt numFmtId="178" formatCode="\+0.0%;\-0.0%;0.0%"/>
  </numFmts>
  <fonts count="3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111827"/>
      <name val="Arial"/>
      <family val="2"/>
    </font>
    <font>
      <sz val="14"/>
      <color rgb="FF111827"/>
      <name val="Arial"/>
      <family val="2"/>
    </font>
    <font>
      <sz val="14"/>
      <color rgb="FFDC2626"/>
      <name val="Arial"/>
      <family val="2"/>
    </font>
    <font>
      <sz val="14"/>
      <color rgb="FF15803D"/>
      <name val="Arial"/>
      <family val="2"/>
    </font>
    <font>
      <b/>
      <sz val="14"/>
      <color rgb="FF111827"/>
      <name val="Arial"/>
      <family val="2"/>
    </font>
    <font>
      <sz val="14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4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i/>
      <sz val="10"/>
      <color theme="1"/>
      <name val="Calibri"/>
      <family val="2"/>
    </font>
    <font>
      <sz val="10"/>
      <color rgb="FF0000FF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  <font>
      <sz val="10"/>
      <color rgb="FF008000"/>
      <name val="Calibri"/>
      <family val="2"/>
    </font>
    <font>
      <i/>
      <sz val="10"/>
      <color rgb="FF7F7F7F"/>
      <name val="Calibri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Calibri"/>
      <family val="2"/>
    </font>
    <font>
      <i/>
      <sz val="10"/>
      <color rgb="FF008000"/>
      <name val="Calibri"/>
      <family val="2"/>
    </font>
    <font>
      <i/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2"/>
      <color rgb="FFFFFFFF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008000"/>
      <name val="Aptos Narrow"/>
      <family val="2"/>
      <scheme val="minor"/>
    </font>
    <font>
      <i/>
      <sz val="12"/>
      <color rgb="FF595959"/>
      <name val="Aptos Narrow"/>
      <family val="2"/>
      <scheme val="minor"/>
    </font>
    <font>
      <b/>
      <i/>
      <sz val="12"/>
      <color rgb="FF595959"/>
      <name val="Aptos Narrow"/>
      <family val="2"/>
      <scheme val="minor"/>
    </font>
    <font>
      <i/>
      <sz val="10"/>
      <color rgb="FF595959"/>
      <name val="Calibri"/>
      <family val="2"/>
    </font>
    <font>
      <b/>
      <i/>
      <sz val="10"/>
      <color rgb="FF595959"/>
      <name val="Calibri"/>
      <family val="2"/>
    </font>
    <font>
      <b/>
      <sz val="10"/>
      <color rgb="FF0000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58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3" fontId="3" fillId="0" borderId="0" xfId="0" applyNumberFormat="1" applyFont="1"/>
    <xf numFmtId="3" fontId="2" fillId="0" borderId="0" xfId="0" applyNumberFormat="1" applyFont="1"/>
    <xf numFmtId="10" fontId="4" fillId="0" borderId="0" xfId="0" applyNumberFormat="1" applyFont="1"/>
    <xf numFmtId="10" fontId="5" fillId="0" borderId="0" xfId="0" applyNumberFormat="1" applyFont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10" fontId="3" fillId="0" borderId="0" xfId="0" applyNumberFormat="1" applyFont="1"/>
    <xf numFmtId="0" fontId="9" fillId="0" borderId="0" xfId="2" applyFont="1"/>
    <xf numFmtId="0" fontId="7" fillId="0" borderId="0" xfId="2" applyFont="1"/>
    <xf numFmtId="15" fontId="3" fillId="0" borderId="0" xfId="0" applyNumberFormat="1" applyFont="1"/>
    <xf numFmtId="9" fontId="7" fillId="0" borderId="0" xfId="0" applyNumberFormat="1" applyFont="1"/>
    <xf numFmtId="1" fontId="7" fillId="0" borderId="0" xfId="0" applyNumberFormat="1" applyFont="1"/>
    <xf numFmtId="10" fontId="7" fillId="0" borderId="0" xfId="0" applyNumberFormat="1" applyFont="1"/>
    <xf numFmtId="10" fontId="7" fillId="0" borderId="0" xfId="1" applyNumberFormat="1" applyFont="1"/>
    <xf numFmtId="166" fontId="7" fillId="0" borderId="0" xfId="0" applyNumberFormat="1" applyFont="1"/>
    <xf numFmtId="0" fontId="3" fillId="0" borderId="0" xfId="1" applyNumberFormat="1" applyFont="1"/>
    <xf numFmtId="165" fontId="7" fillId="0" borderId="0" xfId="1" applyNumberFormat="1" applyFont="1"/>
    <xf numFmtId="164" fontId="7" fillId="0" borderId="0" xfId="1" applyNumberFormat="1" applyFont="1"/>
    <xf numFmtId="1" fontId="7" fillId="0" borderId="0" xfId="1" applyNumberFormat="1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0" xfId="0" applyFont="1" applyFill="1" applyAlignment="1">
      <alignment horizontal="center"/>
    </xf>
    <xf numFmtId="0" fontId="15" fillId="0" borderId="0" xfId="0" applyFont="1"/>
    <xf numFmtId="0" fontId="16" fillId="3" borderId="0" xfId="0" applyFont="1" applyFill="1"/>
    <xf numFmtId="0" fontId="11" fillId="0" borderId="0" xfId="0" applyFont="1" applyBorder="1"/>
    <xf numFmtId="167" fontId="14" fillId="4" borderId="0" xfId="0" applyNumberFormat="1" applyFont="1" applyFill="1" applyBorder="1"/>
    <xf numFmtId="0" fontId="18" fillId="0" borderId="0" xfId="0" applyFont="1" applyBorder="1"/>
    <xf numFmtId="3" fontId="17" fillId="0" borderId="0" xfId="0" applyNumberFormat="1" applyFont="1" applyBorder="1"/>
    <xf numFmtId="168" fontId="11" fillId="0" borderId="0" xfId="0" applyNumberFormat="1" applyFont="1" applyBorder="1"/>
    <xf numFmtId="168" fontId="17" fillId="0" borderId="0" xfId="0" applyNumberFormat="1" applyFont="1" applyBorder="1"/>
    <xf numFmtId="0" fontId="11" fillId="0" borderId="1" xfId="0" applyFont="1" applyBorder="1"/>
    <xf numFmtId="168" fontId="11" fillId="0" borderId="1" xfId="0" applyNumberFormat="1" applyFont="1" applyBorder="1"/>
    <xf numFmtId="0" fontId="15" fillId="5" borderId="2" xfId="0" applyFont="1" applyFill="1" applyBorder="1"/>
    <xf numFmtId="0" fontId="15" fillId="5" borderId="2" xfId="0" applyFont="1" applyFill="1" applyBorder="1" applyAlignment="1">
      <alignment horizontal="right"/>
    </xf>
    <xf numFmtId="169" fontId="14" fillId="4" borderId="0" xfId="0" applyNumberFormat="1" applyFont="1" applyFill="1" applyBorder="1"/>
    <xf numFmtId="169" fontId="14" fillId="4" borderId="1" xfId="0" applyNumberFormat="1" applyFont="1" applyFill="1" applyBorder="1"/>
    <xf numFmtId="0" fontId="15" fillId="5" borderId="3" xfId="0" applyFont="1" applyFill="1" applyBorder="1"/>
    <xf numFmtId="0" fontId="11" fillId="0" borderId="4" xfId="0" applyFont="1" applyBorder="1"/>
    <xf numFmtId="0" fontId="11" fillId="0" borderId="5" xfId="0" applyFont="1" applyBorder="1"/>
    <xf numFmtId="0" fontId="15" fillId="5" borderId="6" xfId="0" applyFont="1" applyFill="1" applyBorder="1" applyAlignment="1">
      <alignment horizontal="right"/>
    </xf>
    <xf numFmtId="169" fontId="14" fillId="4" borderId="7" xfId="0" applyNumberFormat="1" applyFont="1" applyFill="1" applyBorder="1"/>
    <xf numFmtId="0" fontId="11" fillId="0" borderId="7" xfId="0" applyFont="1" applyBorder="1"/>
    <xf numFmtId="0" fontId="11" fillId="0" borderId="8" xfId="0" applyFont="1" applyBorder="1"/>
    <xf numFmtId="169" fontId="21" fillId="0" borderId="0" xfId="0" applyNumberFormat="1" applyFont="1" applyBorder="1"/>
    <xf numFmtId="0" fontId="15" fillId="5" borderId="9" xfId="0" applyFont="1" applyFill="1" applyBorder="1"/>
    <xf numFmtId="0" fontId="15" fillId="5" borderId="9" xfId="0" applyFont="1" applyFill="1" applyBorder="1" applyAlignment="1">
      <alignment horizontal="right"/>
    </xf>
    <xf numFmtId="0" fontId="11" fillId="0" borderId="10" xfId="0" applyFont="1" applyBorder="1"/>
    <xf numFmtId="169" fontId="21" fillId="0" borderId="10" xfId="0" applyNumberFormat="1" applyFont="1" applyBorder="1"/>
    <xf numFmtId="0" fontId="15" fillId="5" borderId="11" xfId="0" applyFont="1" applyFill="1" applyBorder="1"/>
    <xf numFmtId="0" fontId="11" fillId="0" borderId="12" xfId="0" applyFont="1" applyBorder="1"/>
    <xf numFmtId="0" fontId="11" fillId="0" borderId="13" xfId="0" applyFont="1" applyBorder="1"/>
    <xf numFmtId="0" fontId="15" fillId="5" borderId="14" xfId="0" applyFont="1" applyFill="1" applyBorder="1" applyAlignment="1">
      <alignment horizontal="right"/>
    </xf>
    <xf numFmtId="0" fontId="15" fillId="5" borderId="16" xfId="0" applyFont="1" applyFill="1" applyBorder="1" applyAlignment="1">
      <alignment horizontal="right"/>
    </xf>
    <xf numFmtId="169" fontId="21" fillId="0" borderId="17" xfId="0" applyNumberFormat="1" applyFont="1" applyBorder="1"/>
    <xf numFmtId="0" fontId="11" fillId="0" borderId="17" xfId="0" applyFont="1" applyBorder="1"/>
    <xf numFmtId="0" fontId="11" fillId="0" borderId="18" xfId="0" applyFont="1" applyBorder="1"/>
    <xf numFmtId="0" fontId="18" fillId="0" borderId="1" xfId="0" applyFont="1" applyBorder="1"/>
    <xf numFmtId="168" fontId="15" fillId="0" borderId="2" xfId="0" applyNumberFormat="1" applyFont="1" applyBorder="1"/>
    <xf numFmtId="168" fontId="15" fillId="6" borderId="2" xfId="0" applyNumberFormat="1" applyFont="1" applyFill="1" applyBorder="1"/>
    <xf numFmtId="168" fontId="17" fillId="0" borderId="7" xfId="0" applyNumberFormat="1" applyFont="1" applyBorder="1"/>
    <xf numFmtId="169" fontId="22" fillId="0" borderId="7" xfId="0" applyNumberFormat="1" applyFont="1" applyBorder="1"/>
    <xf numFmtId="169" fontId="13" fillId="0" borderId="7" xfId="0" applyNumberFormat="1" applyFont="1" applyBorder="1"/>
    <xf numFmtId="168" fontId="11" fillId="0" borderId="7" xfId="0" applyNumberFormat="1" applyFont="1" applyBorder="1"/>
    <xf numFmtId="168" fontId="15" fillId="0" borderId="6" xfId="0" applyNumberFormat="1" applyFont="1" applyBorder="1"/>
    <xf numFmtId="168" fontId="15" fillId="6" borderId="6" xfId="0" applyNumberFormat="1" applyFont="1" applyFill="1" applyBorder="1"/>
    <xf numFmtId="169" fontId="22" fillId="0" borderId="0" xfId="0" applyNumberFormat="1" applyFont="1" applyBorder="1"/>
    <xf numFmtId="169" fontId="13" fillId="0" borderId="0" xfId="0" applyNumberFormat="1" applyFont="1" applyBorder="1"/>
    <xf numFmtId="169" fontId="13" fillId="0" borderId="10" xfId="0" applyNumberFormat="1" applyFont="1" applyBorder="1"/>
    <xf numFmtId="169" fontId="13" fillId="0" borderId="15" xfId="0" applyNumberFormat="1" applyFont="1" applyBorder="1"/>
    <xf numFmtId="0" fontId="15" fillId="0" borderId="19" xfId="0" applyFont="1" applyBorder="1"/>
    <xf numFmtId="0" fontId="15" fillId="6" borderId="19" xfId="0" applyFont="1" applyFill="1" applyBorder="1"/>
    <xf numFmtId="168" fontId="21" fillId="0" borderId="7" xfId="0" applyNumberFormat="1" applyFont="1" applyBorder="1"/>
    <xf numFmtId="169" fontId="23" fillId="0" borderId="7" xfId="0" applyNumberFormat="1" applyFont="1" applyBorder="1"/>
    <xf numFmtId="168" fontId="24" fillId="0" borderId="6" xfId="0" applyNumberFormat="1" applyFont="1" applyBorder="1"/>
    <xf numFmtId="168" fontId="24" fillId="6" borderId="6" xfId="0" applyNumberFormat="1" applyFont="1" applyFill="1" applyBorder="1"/>
    <xf numFmtId="169" fontId="23" fillId="0" borderId="15" xfId="0" applyNumberFormat="1" applyFont="1" applyBorder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32" fillId="0" borderId="0" xfId="0" applyFont="1"/>
    <xf numFmtId="170" fontId="30" fillId="4" borderId="0" xfId="0" applyNumberFormat="1" applyFont="1" applyFill="1" applyBorder="1"/>
    <xf numFmtId="2" fontId="30" fillId="4" borderId="0" xfId="0" applyNumberFormat="1" applyFont="1" applyFill="1" applyBorder="1"/>
    <xf numFmtId="170" fontId="28" fillId="0" borderId="0" xfId="0" applyNumberFormat="1" applyFont="1" applyBorder="1"/>
    <xf numFmtId="0" fontId="25" fillId="3" borderId="9" xfId="0" applyFont="1" applyFill="1" applyBorder="1"/>
    <xf numFmtId="170" fontId="28" fillId="0" borderId="10" xfId="0" applyNumberFormat="1" applyFont="1" applyBorder="1"/>
    <xf numFmtId="0" fontId="25" fillId="3" borderId="11" xfId="0" applyFont="1" applyFill="1" applyBorder="1"/>
    <xf numFmtId="0" fontId="0" fillId="0" borderId="12" xfId="0" applyBorder="1"/>
    <xf numFmtId="0" fontId="0" fillId="0" borderId="13" xfId="0" applyBorder="1"/>
    <xf numFmtId="0" fontId="25" fillId="3" borderId="16" xfId="0" applyFont="1" applyFill="1" applyBorder="1"/>
    <xf numFmtId="0" fontId="32" fillId="0" borderId="17" xfId="0" applyFont="1" applyBorder="1"/>
    <xf numFmtId="0" fontId="32" fillId="0" borderId="18" xfId="0" applyFont="1" applyBorder="1"/>
    <xf numFmtId="170" fontId="31" fillId="0" borderId="0" xfId="0" applyNumberFormat="1" applyFont="1" applyBorder="1"/>
    <xf numFmtId="0" fontId="29" fillId="3" borderId="9" xfId="0" applyFont="1" applyFill="1" applyBorder="1"/>
    <xf numFmtId="0" fontId="33" fillId="3" borderId="16" xfId="0" applyFont="1" applyFill="1" applyBorder="1"/>
    <xf numFmtId="168" fontId="31" fillId="0" borderId="0" xfId="0" applyNumberFormat="1" applyFont="1" applyBorder="1"/>
    <xf numFmtId="168" fontId="28" fillId="0" borderId="0" xfId="0" applyNumberFormat="1" applyFont="1" applyBorder="1"/>
    <xf numFmtId="170" fontId="29" fillId="6" borderId="10" xfId="0" applyNumberFormat="1" applyFont="1" applyFill="1" applyBorder="1"/>
    <xf numFmtId="0" fontId="10" fillId="6" borderId="13" xfId="0" applyFont="1" applyFill="1" applyBorder="1"/>
    <xf numFmtId="0" fontId="21" fillId="0" borderId="0" xfId="0" applyFont="1"/>
    <xf numFmtId="0" fontId="34" fillId="0" borderId="0" xfId="0" applyFont="1"/>
    <xf numFmtId="0" fontId="15" fillId="5" borderId="0" xfId="0" applyFont="1" applyFill="1" applyBorder="1"/>
    <xf numFmtId="0" fontId="15" fillId="5" borderId="0" xfId="0" applyFont="1" applyFill="1" applyBorder="1" applyAlignment="1">
      <alignment horizontal="right"/>
    </xf>
    <xf numFmtId="0" fontId="21" fillId="0" borderId="0" xfId="0" applyFont="1" applyBorder="1"/>
    <xf numFmtId="168" fontId="21" fillId="0" borderId="0" xfId="0" applyNumberFormat="1" applyFont="1" applyBorder="1"/>
    <xf numFmtId="0" fontId="34" fillId="0" borderId="0" xfId="0" applyFont="1" applyBorder="1"/>
    <xf numFmtId="171" fontId="14" fillId="4" borderId="0" xfId="0" applyNumberFormat="1" applyFont="1" applyFill="1" applyBorder="1"/>
    <xf numFmtId="171" fontId="21" fillId="0" borderId="0" xfId="0" applyNumberFormat="1" applyFont="1" applyBorder="1"/>
    <xf numFmtId="165" fontId="21" fillId="0" borderId="0" xfId="0" applyNumberFormat="1" applyFont="1" applyBorder="1"/>
    <xf numFmtId="0" fontId="16" fillId="3" borderId="9" xfId="0" applyFont="1" applyFill="1" applyBorder="1"/>
    <xf numFmtId="0" fontId="24" fillId="0" borderId="10" xfId="0" applyFont="1" applyBorder="1"/>
    <xf numFmtId="0" fontId="35" fillId="0" borderId="10" xfId="0" applyFont="1" applyBorder="1"/>
    <xf numFmtId="168" fontId="24" fillId="0" borderId="10" xfId="0" applyNumberFormat="1" applyFont="1" applyBorder="1"/>
    <xf numFmtId="0" fontId="16" fillId="3" borderId="11" xfId="0" applyFont="1" applyFill="1" applyBorder="1"/>
    <xf numFmtId="0" fontId="15" fillId="5" borderId="12" xfId="0" applyFont="1" applyFill="1" applyBorder="1"/>
    <xf numFmtId="0" fontId="21" fillId="0" borderId="12" xfId="0" applyFont="1" applyBorder="1"/>
    <xf numFmtId="0" fontId="24" fillId="0" borderId="13" xfId="0" applyFont="1" applyBorder="1"/>
    <xf numFmtId="0" fontId="16" fillId="3" borderId="16" xfId="0" applyFont="1" applyFill="1" applyBorder="1"/>
    <xf numFmtId="0" fontId="15" fillId="5" borderId="17" xfId="0" applyFont="1" applyFill="1" applyBorder="1" applyAlignment="1">
      <alignment horizontal="right"/>
    </xf>
    <xf numFmtId="168" fontId="21" fillId="0" borderId="17" xfId="0" applyNumberFormat="1" applyFont="1" applyBorder="1"/>
    <xf numFmtId="171" fontId="21" fillId="0" borderId="17" xfId="0" applyNumberFormat="1" applyFont="1" applyBorder="1"/>
    <xf numFmtId="165" fontId="21" fillId="0" borderId="17" xfId="0" applyNumberFormat="1" applyFont="1" applyBorder="1"/>
    <xf numFmtId="168" fontId="24" fillId="0" borderId="18" xfId="0" applyNumberFormat="1" applyFont="1" applyBorder="1"/>
    <xf numFmtId="169" fontId="17" fillId="0" borderId="0" xfId="0" applyNumberFormat="1" applyFont="1" applyBorder="1"/>
    <xf numFmtId="0" fontId="24" fillId="3" borderId="9" xfId="0" applyFont="1" applyFill="1" applyBorder="1"/>
    <xf numFmtId="0" fontId="35" fillId="3" borderId="9" xfId="0" applyFont="1" applyFill="1" applyBorder="1"/>
    <xf numFmtId="0" fontId="21" fillId="0" borderId="10" xfId="0" applyFont="1" applyBorder="1"/>
    <xf numFmtId="172" fontId="21" fillId="0" borderId="10" xfId="0" applyNumberFormat="1" applyFont="1" applyBorder="1"/>
    <xf numFmtId="0" fontId="24" fillId="3" borderId="11" xfId="0" applyFont="1" applyFill="1" applyBorder="1"/>
    <xf numFmtId="0" fontId="21" fillId="0" borderId="13" xfId="0" applyFont="1" applyBorder="1"/>
    <xf numFmtId="0" fontId="24" fillId="3" borderId="16" xfId="0" applyFont="1" applyFill="1" applyBorder="1"/>
    <xf numFmtId="0" fontId="21" fillId="0" borderId="17" xfId="0" applyFont="1" applyBorder="1"/>
    <xf numFmtId="0" fontId="21" fillId="0" borderId="18" xfId="0" applyFont="1" applyBorder="1"/>
    <xf numFmtId="168" fontId="24" fillId="6" borderId="0" xfId="0" applyNumberFormat="1" applyFont="1" applyFill="1" applyBorder="1"/>
    <xf numFmtId="3" fontId="21" fillId="0" borderId="0" xfId="0" applyNumberFormat="1" applyFont="1" applyBorder="1"/>
    <xf numFmtId="167" fontId="24" fillId="6" borderId="0" xfId="0" applyNumberFormat="1" applyFont="1" applyFill="1" applyBorder="1"/>
    <xf numFmtId="167" fontId="21" fillId="0" borderId="0" xfId="0" applyNumberFormat="1" applyFont="1" applyBorder="1"/>
    <xf numFmtId="169" fontId="24" fillId="6" borderId="0" xfId="0" applyNumberFormat="1" applyFont="1" applyFill="1" applyBorder="1"/>
    <xf numFmtId="0" fontId="24" fillId="6" borderId="12" xfId="0" applyFont="1" applyFill="1" applyBorder="1"/>
    <xf numFmtId="0" fontId="24" fillId="5" borderId="0" xfId="0" applyFont="1" applyFill="1" applyBorder="1"/>
    <xf numFmtId="10" fontId="24" fillId="5" borderId="0" xfId="0" applyNumberFormat="1" applyFont="1" applyFill="1" applyBorder="1"/>
    <xf numFmtId="167" fontId="21" fillId="0" borderId="10" xfId="0" applyNumberFormat="1" applyFont="1" applyBorder="1"/>
    <xf numFmtId="10" fontId="24" fillId="5" borderId="17" xfId="0" applyNumberFormat="1" applyFont="1" applyFill="1" applyBorder="1"/>
    <xf numFmtId="167" fontId="21" fillId="0" borderId="17" xfId="0" applyNumberFormat="1" applyFont="1" applyBorder="1"/>
    <xf numFmtId="167" fontId="21" fillId="0" borderId="18" xfId="0" applyNumberFormat="1" applyFont="1" applyBorder="1"/>
    <xf numFmtId="2" fontId="24" fillId="5" borderId="0" xfId="0" applyNumberFormat="1" applyFont="1" applyFill="1" applyBorder="1"/>
    <xf numFmtId="2" fontId="24" fillId="5" borderId="10" xfId="0" applyNumberFormat="1" applyFont="1" applyFill="1" applyBorder="1"/>
    <xf numFmtId="177" fontId="24" fillId="5" borderId="0" xfId="0" applyNumberFormat="1" applyFont="1" applyFill="1" applyBorder="1"/>
    <xf numFmtId="177" fontId="24" fillId="5" borderId="17" xfId="0" applyNumberFormat="1" applyFont="1" applyFill="1" applyBorder="1"/>
    <xf numFmtId="177" fontId="24" fillId="5" borderId="10" xfId="0" applyNumberFormat="1" applyFont="1" applyFill="1" applyBorder="1"/>
    <xf numFmtId="178" fontId="36" fillId="5" borderId="0" xfId="0" applyNumberFormat="1" applyFont="1" applyFill="1" applyBorder="1"/>
    <xf numFmtId="178" fontId="36" fillId="5" borderId="17" xfId="0" applyNumberFormat="1" applyFont="1" applyFill="1" applyBorder="1"/>
    <xf numFmtId="178" fontId="36" fillId="5" borderId="10" xfId="0" applyNumberFormat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im, Jonah" id="{7197D3C3-A481-D547-BE8B-7A23DF087978}" userId="S::heimjon1@msu.edu::641e21db-d361-45fb-a819-bc462d22c4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5" dT="2026-10-14T18:30:46.86" personId="{7197D3C3-A481-D547-BE8B-7A23DF087978}" id="{35023D72-26EB-8D42-B27E-64D2F54C1268}">
    <text>Source: U.S. Treasury, Daily Treasury Par Yield Curve Rates, 10/13/2026, 10 Yr = 5.21%, https://home.treasury.gov/resource-center/data-chart-center/interest-rates/daily-treasury-rates.csv/2026/all?type=daily_treasury_yield_curve</text>
  </threadedComment>
  <threadedComment ref="B6" dT="2026-10-14T18:30:46.87" personId="{7197D3C3-A481-D547-BE8B-7A23DF087978}" id="{C718DAC0-211F-B94A-8ADE-9DE5B6D5F454}">
    <text>Source: CNBC quote page (UNOFFICIAL – user approved), Beta 1.20, accessed 10/14/2026, https://www.cnbc.com/quotes/GOOGL</text>
  </threadedComment>
  <threadedComment ref="B7" dT="2026-10-14T18:30:46.87" personId="{7197D3C3-A481-D547-BE8B-7A23DF087978}" id="{7915CC78-F750-6645-976F-D145040E5E6D}">
    <text>Source: Analyst assumption, 10/14/2026 – 5.5% equity risk premium (standard 5.0–6.0% range).</text>
  </threadedComment>
  <threadedComment ref="B11" dT="2026-10-14T18:30:46.87" personId="{7197D3C3-A481-D547-BE8B-7A23DF087978}" id="{B861DB83-CDBB-0F4E-B7AF-290B749B3313}">
    <text>Source: Analyst assumption, 10/14/2026 – ~60bp spread typical for AA+ 10Y corporate debt.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tockanalysis.com/stocks/googl/market-cap/" TargetMode="External"/><Relationship Id="rId1" Type="http://schemas.openxmlformats.org/officeDocument/2006/relationships/hyperlink" Target="https://stockanalysis.com/stocks/googl/revenu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1032D-B8C9-F34D-AD2A-DA04679615C5}">
  <dimension ref="A1:BR69"/>
  <sheetViews>
    <sheetView topLeftCell="A38" zoomScale="90" zoomScaleNormal="90" workbookViewId="0">
      <selection activeCell="B67" sqref="B67"/>
    </sheetView>
  </sheetViews>
  <sheetFormatPr baseColWidth="10" defaultRowHeight="19" x14ac:dyDescent="0.25"/>
  <cols>
    <col min="1" max="1" width="38.83203125" style="10" customWidth="1"/>
    <col min="2" max="7" width="20.83203125" style="10" customWidth="1"/>
    <col min="8" max="8" width="27.33203125" style="10" bestFit="1" customWidth="1"/>
    <col min="9" max="9" width="38.83203125" style="10" customWidth="1"/>
    <col min="10" max="15" width="20.83203125" style="10" customWidth="1"/>
    <col min="16" max="16" width="10.83203125" style="10"/>
    <col min="17" max="17" width="38.83203125" style="10" customWidth="1"/>
    <col min="18" max="24" width="20.83203125" style="10" customWidth="1"/>
    <col min="25" max="25" width="38.83203125" style="10" customWidth="1"/>
    <col min="26" max="31" width="20.83203125" style="10" customWidth="1"/>
    <col min="32" max="32" width="10.83203125" style="10"/>
    <col min="33" max="33" width="38.83203125" style="10" customWidth="1"/>
    <col min="34" max="41" width="20.83203125" style="10" customWidth="1"/>
    <col min="42" max="16384" width="10.83203125" style="10"/>
  </cols>
  <sheetData>
    <row r="1" spans="1:70" x14ac:dyDescent="0.25">
      <c r="A1" s="10" t="s">
        <v>50</v>
      </c>
      <c r="I1" s="10" t="s">
        <v>51</v>
      </c>
      <c r="Q1" s="10" t="s">
        <v>94</v>
      </c>
      <c r="Y1" s="10" t="s">
        <v>126</v>
      </c>
      <c r="AG1" s="10" t="s">
        <v>231</v>
      </c>
    </row>
    <row r="2" spans="1:7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I2" s="1" t="s">
        <v>0</v>
      </c>
      <c r="J2" s="1" t="s">
        <v>1</v>
      </c>
      <c r="K2" s="1" t="s">
        <v>2</v>
      </c>
      <c r="L2" s="1" t="s">
        <v>3</v>
      </c>
      <c r="M2" s="1" t="s">
        <v>4</v>
      </c>
      <c r="N2" s="1" t="s">
        <v>5</v>
      </c>
      <c r="O2" s="1" t="s">
        <v>6</v>
      </c>
      <c r="Q2" s="1" t="s">
        <v>0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5</v>
      </c>
      <c r="W2" s="1" t="s">
        <v>6</v>
      </c>
      <c r="Y2" s="1" t="s">
        <v>0</v>
      </c>
      <c r="Z2" s="1" t="s">
        <v>127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6</v>
      </c>
      <c r="AG2" s="1" t="s">
        <v>232</v>
      </c>
      <c r="AH2" s="1" t="s">
        <v>160</v>
      </c>
      <c r="AI2" s="1" t="s">
        <v>169</v>
      </c>
      <c r="AJ2" s="1" t="s">
        <v>178</v>
      </c>
      <c r="AK2" s="1" t="s">
        <v>187</v>
      </c>
      <c r="AL2" s="1" t="s">
        <v>196</v>
      </c>
      <c r="AM2" s="1" t="s">
        <v>205</v>
      </c>
      <c r="AN2" s="1" t="s">
        <v>214</v>
      </c>
      <c r="AO2" s="1" t="s">
        <v>223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x14ac:dyDescent="0.25">
      <c r="A3" s="1" t="s">
        <v>7</v>
      </c>
      <c r="B3" s="2">
        <v>45838</v>
      </c>
      <c r="C3" s="2">
        <v>45657</v>
      </c>
      <c r="D3" s="2">
        <v>45291</v>
      </c>
      <c r="E3" s="2">
        <v>44926</v>
      </c>
      <c r="F3" s="2">
        <v>44561</v>
      </c>
      <c r="G3" s="2">
        <v>44196</v>
      </c>
      <c r="I3" s="1" t="s">
        <v>7</v>
      </c>
      <c r="J3" s="2">
        <v>45838</v>
      </c>
      <c r="K3" s="2">
        <v>45657</v>
      </c>
      <c r="L3" s="2">
        <v>45291</v>
      </c>
      <c r="M3" s="2">
        <v>44926</v>
      </c>
      <c r="N3" s="2">
        <v>44561</v>
      </c>
      <c r="O3" s="2">
        <v>44196</v>
      </c>
      <c r="Q3" s="1" t="s">
        <v>7</v>
      </c>
      <c r="R3" s="2">
        <v>45838</v>
      </c>
      <c r="S3" s="2">
        <v>45657</v>
      </c>
      <c r="T3" s="2">
        <v>45291</v>
      </c>
      <c r="U3" s="2">
        <v>44926</v>
      </c>
      <c r="V3" s="2">
        <v>44561</v>
      </c>
      <c r="W3" s="2">
        <v>44196</v>
      </c>
      <c r="Y3" s="1" t="s">
        <v>7</v>
      </c>
      <c r="Z3" s="2">
        <v>45933</v>
      </c>
      <c r="AA3" s="2">
        <v>45657</v>
      </c>
      <c r="AB3" s="2">
        <v>45291</v>
      </c>
      <c r="AC3" s="2">
        <v>44926</v>
      </c>
      <c r="AD3" s="2">
        <v>44561</v>
      </c>
      <c r="AE3" s="2">
        <v>44196</v>
      </c>
      <c r="AG3" s="14">
        <v>45838</v>
      </c>
      <c r="AH3" s="3" t="s">
        <v>161</v>
      </c>
      <c r="AI3" s="3" t="s">
        <v>170</v>
      </c>
      <c r="AJ3" s="3" t="s">
        <v>179</v>
      </c>
      <c r="AK3" s="3" t="s">
        <v>188</v>
      </c>
      <c r="AL3" s="3" t="s">
        <v>197</v>
      </c>
      <c r="AM3" s="3" t="s">
        <v>206</v>
      </c>
      <c r="AN3" s="3" t="s">
        <v>215</v>
      </c>
      <c r="AO3" s="3" t="s">
        <v>224</v>
      </c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x14ac:dyDescent="0.25">
      <c r="A4" s="3" t="s">
        <v>8</v>
      </c>
      <c r="B4" s="4">
        <v>21036</v>
      </c>
      <c r="C4" s="4">
        <v>23466</v>
      </c>
      <c r="D4" s="4">
        <v>24048</v>
      </c>
      <c r="E4" s="4">
        <v>21879</v>
      </c>
      <c r="F4" s="4">
        <v>20945</v>
      </c>
      <c r="G4" s="4">
        <v>26465</v>
      </c>
      <c r="I4" s="12" t="s">
        <v>52</v>
      </c>
      <c r="J4" s="5">
        <v>371399</v>
      </c>
      <c r="K4" s="5">
        <v>350018</v>
      </c>
      <c r="L4" s="5">
        <v>307394</v>
      </c>
      <c r="M4" s="5">
        <v>282836</v>
      </c>
      <c r="N4" s="5">
        <v>257637</v>
      </c>
      <c r="O4" s="5">
        <v>182527</v>
      </c>
      <c r="Q4" s="3" t="s">
        <v>71</v>
      </c>
      <c r="R4" s="4">
        <v>115573</v>
      </c>
      <c r="S4" s="4">
        <v>100118</v>
      </c>
      <c r="T4" s="4">
        <v>73795</v>
      </c>
      <c r="U4" s="4">
        <v>59972</v>
      </c>
      <c r="V4" s="4">
        <v>76033</v>
      </c>
      <c r="W4" s="4">
        <v>40269</v>
      </c>
      <c r="Y4" s="13" t="s">
        <v>128</v>
      </c>
      <c r="Z4" s="5">
        <v>2960974</v>
      </c>
      <c r="AA4" s="5">
        <v>2323530</v>
      </c>
      <c r="AB4" s="5">
        <v>1755459</v>
      </c>
      <c r="AC4" s="5">
        <v>1145004</v>
      </c>
      <c r="AD4" s="5">
        <v>1921855</v>
      </c>
      <c r="AE4" s="5">
        <v>1185281</v>
      </c>
      <c r="AG4" s="14">
        <v>45747</v>
      </c>
      <c r="AH4" s="3" t="s">
        <v>162</v>
      </c>
      <c r="AI4" s="3" t="s">
        <v>171</v>
      </c>
      <c r="AJ4" s="3" t="s">
        <v>180</v>
      </c>
      <c r="AK4" s="3" t="s">
        <v>189</v>
      </c>
      <c r="AL4" s="3" t="s">
        <v>198</v>
      </c>
      <c r="AM4" s="3" t="s">
        <v>207</v>
      </c>
      <c r="AN4" s="3" t="s">
        <v>216</v>
      </c>
      <c r="AO4" s="3" t="s">
        <v>225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5" spans="1:70" x14ac:dyDescent="0.25">
      <c r="A5" s="3" t="s">
        <v>9</v>
      </c>
      <c r="B5" s="4">
        <v>74112</v>
      </c>
      <c r="C5" s="4">
        <v>72191</v>
      </c>
      <c r="D5" s="4">
        <v>86868</v>
      </c>
      <c r="E5" s="4">
        <v>91883</v>
      </c>
      <c r="F5" s="4">
        <v>118704</v>
      </c>
      <c r="G5" s="4">
        <v>110229</v>
      </c>
      <c r="I5" s="3" t="s">
        <v>53</v>
      </c>
      <c r="J5" s="7">
        <v>0.1313</v>
      </c>
      <c r="K5" s="7">
        <v>0.13869999999999999</v>
      </c>
      <c r="L5" s="7">
        <v>8.6800000000000002E-2</v>
      </c>
      <c r="M5" s="7">
        <v>9.7799999999999998E-2</v>
      </c>
      <c r="N5" s="7">
        <v>0.41149999999999998</v>
      </c>
      <c r="O5" s="7">
        <v>0.12770000000000001</v>
      </c>
      <c r="Q5" s="3" t="s">
        <v>95</v>
      </c>
      <c r="R5" s="4">
        <v>17675</v>
      </c>
      <c r="S5" s="4">
        <v>15311</v>
      </c>
      <c r="T5" s="4">
        <v>11946</v>
      </c>
      <c r="U5" s="4">
        <v>13475</v>
      </c>
      <c r="V5" s="4">
        <v>10273</v>
      </c>
      <c r="W5" s="4">
        <v>13679</v>
      </c>
      <c r="Y5" s="3" t="s">
        <v>129</v>
      </c>
      <c r="Z5" s="7">
        <v>0.50980000000000003</v>
      </c>
      <c r="AA5" s="7">
        <v>0.3236</v>
      </c>
      <c r="AB5" s="7">
        <v>0.53310000000000002</v>
      </c>
      <c r="AC5" s="6">
        <v>-0.4042</v>
      </c>
      <c r="AD5" s="7">
        <v>0.62139999999999995</v>
      </c>
      <c r="AE5" s="7">
        <v>0.28420000000000001</v>
      </c>
      <c r="AG5" s="14">
        <v>45657</v>
      </c>
      <c r="AH5" s="3" t="s">
        <v>163</v>
      </c>
      <c r="AI5" s="3" t="s">
        <v>172</v>
      </c>
      <c r="AJ5" s="3" t="s">
        <v>181</v>
      </c>
      <c r="AK5" s="3" t="s">
        <v>190</v>
      </c>
      <c r="AL5" s="3" t="s">
        <v>199</v>
      </c>
      <c r="AM5" s="3" t="s">
        <v>208</v>
      </c>
      <c r="AN5" s="3" t="s">
        <v>217</v>
      </c>
      <c r="AO5" s="3" t="s">
        <v>226</v>
      </c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0" x14ac:dyDescent="0.25">
      <c r="A6" s="1" t="s">
        <v>10</v>
      </c>
      <c r="B6" s="5">
        <v>95148</v>
      </c>
      <c r="C6" s="5">
        <v>95657</v>
      </c>
      <c r="D6" s="5">
        <v>110916</v>
      </c>
      <c r="E6" s="5">
        <v>113762</v>
      </c>
      <c r="F6" s="5">
        <v>139649</v>
      </c>
      <c r="G6" s="5">
        <v>136694</v>
      </c>
      <c r="I6" s="3" t="s">
        <v>54</v>
      </c>
      <c r="J6" s="4">
        <v>152487</v>
      </c>
      <c r="K6" s="4">
        <v>146306</v>
      </c>
      <c r="L6" s="4">
        <v>133332</v>
      </c>
      <c r="M6" s="4">
        <v>126203</v>
      </c>
      <c r="N6" s="4">
        <v>110939</v>
      </c>
      <c r="O6" s="4">
        <v>84732</v>
      </c>
      <c r="Q6" s="3" t="s">
        <v>96</v>
      </c>
      <c r="R6" s="3" t="s">
        <v>13</v>
      </c>
      <c r="S6" s="3" t="s">
        <v>13</v>
      </c>
      <c r="T6" s="3" t="s">
        <v>13</v>
      </c>
      <c r="U6" s="3" t="s">
        <v>13</v>
      </c>
      <c r="V6" s="3" t="s">
        <v>13</v>
      </c>
      <c r="W6" s="3">
        <v>18</v>
      </c>
      <c r="Y6" s="3" t="s">
        <v>130</v>
      </c>
      <c r="Z6" s="4">
        <v>2917895</v>
      </c>
      <c r="AA6" s="4">
        <v>2259589</v>
      </c>
      <c r="AB6" s="4">
        <v>1665970</v>
      </c>
      <c r="AC6" s="4">
        <v>1058081</v>
      </c>
      <c r="AD6" s="4">
        <v>1807518</v>
      </c>
      <c r="AE6" s="4">
        <v>1079780</v>
      </c>
      <c r="AG6" s="14">
        <v>45565</v>
      </c>
      <c r="AH6" s="3" t="s">
        <v>164</v>
      </c>
      <c r="AI6" s="3" t="s">
        <v>173</v>
      </c>
      <c r="AJ6" s="3" t="s">
        <v>182</v>
      </c>
      <c r="AK6" s="3" t="s">
        <v>191</v>
      </c>
      <c r="AL6" s="3" t="s">
        <v>200</v>
      </c>
      <c r="AM6" s="3" t="s">
        <v>209</v>
      </c>
      <c r="AN6" s="3" t="s">
        <v>218</v>
      </c>
      <c r="AO6" s="3" t="s">
        <v>227</v>
      </c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7"/>
      <c r="BJ6" s="7"/>
      <c r="BK6" s="7"/>
      <c r="BL6" s="7"/>
      <c r="BM6" s="7"/>
      <c r="BN6" s="7"/>
      <c r="BO6" s="3"/>
      <c r="BP6" s="3"/>
      <c r="BQ6" s="3"/>
      <c r="BR6" s="3"/>
    </row>
    <row r="7" spans="1:70" x14ac:dyDescent="0.25">
      <c r="A7" s="3" t="s">
        <v>11</v>
      </c>
      <c r="B7" s="6">
        <v>-5.5399999999999998E-2</v>
      </c>
      <c r="C7" s="6">
        <v>-0.1376</v>
      </c>
      <c r="D7" s="6">
        <v>-2.5000000000000001E-2</v>
      </c>
      <c r="E7" s="6">
        <v>-0.18540000000000001</v>
      </c>
      <c r="F7" s="7">
        <v>2.1600000000000001E-2</v>
      </c>
      <c r="G7" s="7">
        <v>0.14219999999999999</v>
      </c>
      <c r="I7" s="1" t="s">
        <v>55</v>
      </c>
      <c r="J7" s="5">
        <v>218912</v>
      </c>
      <c r="K7" s="5">
        <v>203712</v>
      </c>
      <c r="L7" s="5">
        <v>174062</v>
      </c>
      <c r="M7" s="5">
        <v>156633</v>
      </c>
      <c r="N7" s="5">
        <v>146698</v>
      </c>
      <c r="O7" s="5">
        <v>97795</v>
      </c>
      <c r="Q7" s="3" t="s">
        <v>97</v>
      </c>
      <c r="R7" s="4">
        <v>-13325</v>
      </c>
      <c r="S7" s="4">
        <v>-2671</v>
      </c>
      <c r="T7" s="3">
        <v>823</v>
      </c>
      <c r="U7" s="4">
        <v>5519</v>
      </c>
      <c r="V7" s="4">
        <v>-12270</v>
      </c>
      <c r="W7" s="4">
        <v>-6317</v>
      </c>
      <c r="Y7" s="3" t="s">
        <v>131</v>
      </c>
      <c r="Z7" s="3">
        <v>245.69</v>
      </c>
      <c r="AA7" s="3">
        <v>188.68</v>
      </c>
      <c r="AB7" s="3">
        <v>138.72999999999999</v>
      </c>
      <c r="AC7" s="3">
        <v>87.63</v>
      </c>
      <c r="AD7" s="3">
        <v>143.86000000000001</v>
      </c>
      <c r="AE7" s="3">
        <v>87.03</v>
      </c>
      <c r="AG7" s="14">
        <v>45473</v>
      </c>
      <c r="AH7" s="3" t="s">
        <v>165</v>
      </c>
      <c r="AI7" s="3" t="s">
        <v>174</v>
      </c>
      <c r="AJ7" s="3" t="s">
        <v>183</v>
      </c>
      <c r="AK7" s="3" t="s">
        <v>192</v>
      </c>
      <c r="AL7" s="3" t="s">
        <v>201</v>
      </c>
      <c r="AM7" s="3" t="s">
        <v>210</v>
      </c>
      <c r="AN7" s="3" t="s">
        <v>219</v>
      </c>
      <c r="AO7" s="3" t="s">
        <v>228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</row>
    <row r="8" spans="1:70" x14ac:dyDescent="0.25">
      <c r="A8" s="3" t="s">
        <v>12</v>
      </c>
      <c r="B8" s="4">
        <v>55048</v>
      </c>
      <c r="C8" s="4">
        <v>52340</v>
      </c>
      <c r="D8" s="4">
        <v>47964</v>
      </c>
      <c r="E8" s="4">
        <v>40258</v>
      </c>
      <c r="F8" s="4">
        <v>39304</v>
      </c>
      <c r="G8" s="4">
        <v>30930</v>
      </c>
      <c r="I8" s="3" t="s">
        <v>56</v>
      </c>
      <c r="J8" s="4">
        <v>44615</v>
      </c>
      <c r="K8" s="4">
        <v>41996</v>
      </c>
      <c r="L8" s="4">
        <v>44342</v>
      </c>
      <c r="M8" s="4">
        <v>42291</v>
      </c>
      <c r="N8" s="4">
        <v>36422</v>
      </c>
      <c r="O8" s="4">
        <v>28998</v>
      </c>
      <c r="Q8" s="3" t="s">
        <v>98</v>
      </c>
      <c r="R8" s="4">
        <v>23170</v>
      </c>
      <c r="S8" s="4">
        <v>22785</v>
      </c>
      <c r="T8" s="4">
        <v>22460</v>
      </c>
      <c r="U8" s="4">
        <v>19362</v>
      </c>
      <c r="V8" s="4">
        <v>15376</v>
      </c>
      <c r="W8" s="4">
        <v>12991</v>
      </c>
      <c r="Y8" s="3" t="s">
        <v>132</v>
      </c>
      <c r="Z8" s="3">
        <v>26.09</v>
      </c>
      <c r="AA8" s="3">
        <v>23.21</v>
      </c>
      <c r="AB8" s="3">
        <v>23.79</v>
      </c>
      <c r="AC8" s="3">
        <v>19.09</v>
      </c>
      <c r="AD8" s="3">
        <v>25.28</v>
      </c>
      <c r="AE8" s="3">
        <v>29.43</v>
      </c>
      <c r="AG8" s="14">
        <v>45382</v>
      </c>
      <c r="AH8" s="3" t="s">
        <v>166</v>
      </c>
      <c r="AI8" s="3" t="s">
        <v>175</v>
      </c>
      <c r="AJ8" s="3" t="s">
        <v>184</v>
      </c>
      <c r="AK8" s="3" t="s">
        <v>193</v>
      </c>
      <c r="AL8" s="3" t="s">
        <v>202</v>
      </c>
      <c r="AM8" s="3" t="s">
        <v>211</v>
      </c>
      <c r="AN8" s="3" t="s">
        <v>220</v>
      </c>
      <c r="AO8" s="3" t="s">
        <v>228</v>
      </c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</row>
    <row r="9" spans="1:70" x14ac:dyDescent="0.25">
      <c r="A9" s="3" t="s">
        <v>14</v>
      </c>
      <c r="B9" s="4">
        <v>55048</v>
      </c>
      <c r="C9" s="4">
        <v>52340</v>
      </c>
      <c r="D9" s="4">
        <v>47964</v>
      </c>
      <c r="E9" s="4">
        <v>40258</v>
      </c>
      <c r="F9" s="4">
        <v>39304</v>
      </c>
      <c r="G9" s="4">
        <v>31384</v>
      </c>
      <c r="I9" s="3" t="s">
        <v>57</v>
      </c>
      <c r="J9" s="4">
        <v>51131</v>
      </c>
      <c r="K9" s="4">
        <v>47530</v>
      </c>
      <c r="L9" s="4">
        <v>45427</v>
      </c>
      <c r="M9" s="4">
        <v>39500</v>
      </c>
      <c r="N9" s="4">
        <v>31562</v>
      </c>
      <c r="O9" s="4">
        <v>27573</v>
      </c>
      <c r="Q9" s="3" t="s">
        <v>99</v>
      </c>
      <c r="R9" s="3">
        <v>-840</v>
      </c>
      <c r="S9" s="4">
        <v>-1838</v>
      </c>
      <c r="T9" s="4">
        <v>-3433</v>
      </c>
      <c r="U9" s="4">
        <v>-4598</v>
      </c>
      <c r="V9" s="4">
        <v>3763</v>
      </c>
      <c r="W9" s="4">
        <v>2657</v>
      </c>
      <c r="Y9" s="3" t="s">
        <v>133</v>
      </c>
      <c r="Z9" s="3">
        <v>24.65</v>
      </c>
      <c r="AA9" s="3">
        <v>22.05</v>
      </c>
      <c r="AB9" s="3">
        <v>21.69</v>
      </c>
      <c r="AC9" s="3">
        <v>17.89</v>
      </c>
      <c r="AD9" s="3">
        <v>26.61</v>
      </c>
      <c r="AE9" s="3">
        <v>29.57</v>
      </c>
      <c r="AG9" s="14">
        <v>45291</v>
      </c>
      <c r="AH9" s="3" t="s">
        <v>167</v>
      </c>
      <c r="AI9" s="3" t="s">
        <v>176</v>
      </c>
      <c r="AJ9" s="3" t="s">
        <v>185</v>
      </c>
      <c r="AK9" s="3" t="s">
        <v>194</v>
      </c>
      <c r="AL9" s="3" t="s">
        <v>203</v>
      </c>
      <c r="AM9" s="3" t="s">
        <v>212</v>
      </c>
      <c r="AN9" s="3" t="s">
        <v>221</v>
      </c>
      <c r="AO9" s="3" t="s">
        <v>229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</row>
    <row r="10" spans="1:70" x14ac:dyDescent="0.25">
      <c r="A10" s="3" t="s">
        <v>15</v>
      </c>
      <c r="B10" s="4">
        <v>16020</v>
      </c>
      <c r="C10" s="4">
        <v>15714</v>
      </c>
      <c r="D10" s="4">
        <v>12650</v>
      </c>
      <c r="E10" s="4">
        <v>10775</v>
      </c>
      <c r="F10" s="4">
        <v>8020</v>
      </c>
      <c r="G10" s="4">
        <v>5490</v>
      </c>
      <c r="I10" s="3" t="s">
        <v>58</v>
      </c>
      <c r="J10" s="4">
        <v>95746</v>
      </c>
      <c r="K10" s="4">
        <v>89526</v>
      </c>
      <c r="L10" s="4">
        <v>89769</v>
      </c>
      <c r="M10" s="4">
        <v>81791</v>
      </c>
      <c r="N10" s="4">
        <v>67984</v>
      </c>
      <c r="O10" s="4">
        <v>56571</v>
      </c>
      <c r="Q10" s="3" t="s">
        <v>100</v>
      </c>
      <c r="R10" s="4">
        <v>-7202</v>
      </c>
      <c r="S10" s="4">
        <v>-5891</v>
      </c>
      <c r="T10" s="4">
        <v>-7833</v>
      </c>
      <c r="U10" s="4">
        <v>-2317</v>
      </c>
      <c r="V10" s="4">
        <v>-9095</v>
      </c>
      <c r="W10" s="4">
        <v>-6524</v>
      </c>
      <c r="Y10" s="3" t="s">
        <v>134</v>
      </c>
      <c r="Z10" s="3">
        <v>8.07</v>
      </c>
      <c r="AA10" s="3">
        <v>6.64</v>
      </c>
      <c r="AB10" s="3">
        <v>5.71</v>
      </c>
      <c r="AC10" s="3">
        <v>4.05</v>
      </c>
      <c r="AD10" s="3">
        <v>7.46</v>
      </c>
      <c r="AE10" s="3">
        <v>6.49</v>
      </c>
      <c r="AG10" s="14">
        <v>45199</v>
      </c>
      <c r="AH10" s="3" t="s">
        <v>168</v>
      </c>
      <c r="AI10" s="3" t="s">
        <v>177</v>
      </c>
      <c r="AJ10" s="3" t="s">
        <v>186</v>
      </c>
      <c r="AK10" s="3" t="s">
        <v>195</v>
      </c>
      <c r="AL10" s="3" t="s">
        <v>204</v>
      </c>
      <c r="AM10" s="3" t="s">
        <v>213</v>
      </c>
      <c r="AN10" s="3" t="s">
        <v>222</v>
      </c>
      <c r="AO10" s="3" t="s">
        <v>230</v>
      </c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</row>
    <row r="11" spans="1:70" x14ac:dyDescent="0.25">
      <c r="A11" s="1" t="s">
        <v>16</v>
      </c>
      <c r="B11" s="5">
        <v>166216</v>
      </c>
      <c r="C11" s="5">
        <v>163711</v>
      </c>
      <c r="D11" s="5">
        <v>171530</v>
      </c>
      <c r="E11" s="5">
        <v>164795</v>
      </c>
      <c r="F11" s="5">
        <v>188143</v>
      </c>
      <c r="G11" s="5">
        <v>174296</v>
      </c>
      <c r="I11" s="1" t="s">
        <v>59</v>
      </c>
      <c r="J11" s="5">
        <v>123166</v>
      </c>
      <c r="K11" s="5">
        <v>114186</v>
      </c>
      <c r="L11" s="5">
        <v>84293</v>
      </c>
      <c r="M11" s="5">
        <v>74842</v>
      </c>
      <c r="N11" s="5">
        <v>78714</v>
      </c>
      <c r="O11" s="5">
        <v>41224</v>
      </c>
      <c r="Q11" s="3" t="s">
        <v>101</v>
      </c>
      <c r="R11" s="3">
        <v>595</v>
      </c>
      <c r="S11" s="3">
        <v>359</v>
      </c>
      <c r="T11" s="3">
        <v>664</v>
      </c>
      <c r="U11" s="3">
        <v>707</v>
      </c>
      <c r="V11" s="3">
        <v>283</v>
      </c>
      <c r="W11" s="3">
        <v>694</v>
      </c>
      <c r="Y11" s="3" t="s">
        <v>135</v>
      </c>
      <c r="Z11" s="3">
        <v>8.19</v>
      </c>
      <c r="AA11" s="3">
        <v>7.15</v>
      </c>
      <c r="AB11" s="3">
        <v>6.2</v>
      </c>
      <c r="AC11" s="3">
        <v>4.47</v>
      </c>
      <c r="AD11" s="3">
        <v>7.64</v>
      </c>
      <c r="AE11" s="3">
        <v>5.33</v>
      </c>
      <c r="AG11" s="14">
        <v>45107</v>
      </c>
      <c r="AH11" s="3" t="s">
        <v>233</v>
      </c>
      <c r="AI11" s="3" t="s">
        <v>234</v>
      </c>
      <c r="AJ11" s="3" t="s">
        <v>235</v>
      </c>
      <c r="AK11" s="3" t="s">
        <v>236</v>
      </c>
      <c r="AL11" s="3" t="s">
        <v>237</v>
      </c>
      <c r="AM11" s="3" t="s">
        <v>238</v>
      </c>
      <c r="AN11" s="3" t="s">
        <v>239</v>
      </c>
      <c r="AO11" s="3" t="s">
        <v>240</v>
      </c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</row>
    <row r="12" spans="1:70" x14ac:dyDescent="0.25">
      <c r="A12" s="3" t="s">
        <v>17</v>
      </c>
      <c r="B12" s="4">
        <v>217486</v>
      </c>
      <c r="C12" s="4">
        <v>184624</v>
      </c>
      <c r="D12" s="4">
        <v>148436</v>
      </c>
      <c r="E12" s="4">
        <v>127049</v>
      </c>
      <c r="F12" s="4">
        <v>110558</v>
      </c>
      <c r="G12" s="4">
        <v>96960</v>
      </c>
      <c r="I12" s="3" t="s">
        <v>60</v>
      </c>
      <c r="J12" s="3">
        <v>-402</v>
      </c>
      <c r="K12" s="3">
        <v>-268</v>
      </c>
      <c r="L12" s="3">
        <v>-308</v>
      </c>
      <c r="M12" s="3">
        <v>-357</v>
      </c>
      <c r="N12" s="3">
        <v>-346</v>
      </c>
      <c r="O12" s="3">
        <v>-135</v>
      </c>
      <c r="Q12" s="3" t="s">
        <v>102</v>
      </c>
      <c r="R12" s="4">
        <v>1459</v>
      </c>
      <c r="S12" s="4">
        <v>1043</v>
      </c>
      <c r="T12" s="3">
        <v>525</v>
      </c>
      <c r="U12" s="3">
        <v>367</v>
      </c>
      <c r="V12" s="3">
        <v>774</v>
      </c>
      <c r="W12" s="3">
        <v>635</v>
      </c>
      <c r="Y12" s="3" t="s">
        <v>136</v>
      </c>
      <c r="Z12" s="3">
        <v>8.99</v>
      </c>
      <c r="AA12" s="3">
        <v>7.93</v>
      </c>
      <c r="AB12" s="3">
        <v>6.91</v>
      </c>
      <c r="AC12" s="3">
        <v>5.04</v>
      </c>
      <c r="AD12" s="3">
        <v>8.4600000000000009</v>
      </c>
      <c r="AE12" s="3">
        <v>5.93</v>
      </c>
      <c r="AG12" s="14">
        <v>45016</v>
      </c>
      <c r="AH12" s="3" t="s">
        <v>241</v>
      </c>
      <c r="AI12" s="3" t="s">
        <v>242</v>
      </c>
      <c r="AJ12" s="3" t="s">
        <v>243</v>
      </c>
      <c r="AK12" s="3" t="s">
        <v>244</v>
      </c>
      <c r="AL12" s="3" t="s">
        <v>245</v>
      </c>
      <c r="AM12" s="3" t="s">
        <v>246</v>
      </c>
      <c r="AN12" s="3" t="s">
        <v>247</v>
      </c>
      <c r="AO12" s="3" t="s">
        <v>248</v>
      </c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</row>
    <row r="13" spans="1:70" x14ac:dyDescent="0.25">
      <c r="A13" s="3" t="s">
        <v>18</v>
      </c>
      <c r="B13" s="4">
        <v>52574</v>
      </c>
      <c r="C13" s="4">
        <v>40882</v>
      </c>
      <c r="D13" s="4">
        <v>31929</v>
      </c>
      <c r="E13" s="4">
        <v>30492</v>
      </c>
      <c r="F13" s="4">
        <v>29549</v>
      </c>
      <c r="G13" s="4">
        <v>20703</v>
      </c>
      <c r="I13" s="3" t="s">
        <v>61</v>
      </c>
      <c r="J13" s="4">
        <v>4382</v>
      </c>
      <c r="K13" s="4">
        <v>4482</v>
      </c>
      <c r="L13" s="4">
        <v>3865</v>
      </c>
      <c r="M13" s="4">
        <v>2174</v>
      </c>
      <c r="N13" s="4">
        <v>1499</v>
      </c>
      <c r="O13" s="4">
        <v>1865</v>
      </c>
      <c r="Q13" s="3" t="s">
        <v>103</v>
      </c>
      <c r="R13" s="4">
        <v>-3963</v>
      </c>
      <c r="S13" s="4">
        <v>-2418</v>
      </c>
      <c r="T13" s="3">
        <v>523</v>
      </c>
      <c r="U13" s="3">
        <v>584</v>
      </c>
      <c r="V13" s="3">
        <v>-625</v>
      </c>
      <c r="W13" s="4">
        <v>1209</v>
      </c>
      <c r="Y13" s="3" t="s">
        <v>137</v>
      </c>
      <c r="Z13" s="3">
        <v>44.53</v>
      </c>
      <c r="AA13" s="3">
        <v>31.93</v>
      </c>
      <c r="AB13" s="3">
        <v>25.26</v>
      </c>
      <c r="AC13" s="3">
        <v>19.079999999999998</v>
      </c>
      <c r="AD13" s="3">
        <v>28.68</v>
      </c>
      <c r="AE13" s="3">
        <v>27.67</v>
      </c>
      <c r="AG13" s="14">
        <v>44926</v>
      </c>
      <c r="AH13" s="3" t="s">
        <v>249</v>
      </c>
      <c r="AI13" s="3" t="s">
        <v>13</v>
      </c>
      <c r="AJ13" s="3" t="s">
        <v>250</v>
      </c>
      <c r="AK13" s="3" t="s">
        <v>251</v>
      </c>
      <c r="AL13" s="3" t="s">
        <v>252</v>
      </c>
      <c r="AM13" s="3" t="s">
        <v>253</v>
      </c>
      <c r="AN13" s="3" t="s">
        <v>254</v>
      </c>
      <c r="AO13" s="3" t="s">
        <v>255</v>
      </c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</row>
    <row r="14" spans="1:70" x14ac:dyDescent="0.25">
      <c r="A14" s="3" t="s">
        <v>19</v>
      </c>
      <c r="B14" s="4">
        <v>32335</v>
      </c>
      <c r="C14" s="4">
        <v>31885</v>
      </c>
      <c r="D14" s="4">
        <v>29198</v>
      </c>
      <c r="E14" s="4">
        <v>28960</v>
      </c>
      <c r="F14" s="4">
        <v>22956</v>
      </c>
      <c r="G14" s="4">
        <v>21175</v>
      </c>
      <c r="I14" s="3" t="s">
        <v>62</v>
      </c>
      <c r="J14" s="3">
        <v>203</v>
      </c>
      <c r="K14" s="3">
        <v>-188</v>
      </c>
      <c r="L14" s="3">
        <v>-628</v>
      </c>
      <c r="M14" s="3">
        <v>-337</v>
      </c>
      <c r="N14" s="3">
        <v>334</v>
      </c>
      <c r="O14" s="3">
        <v>401</v>
      </c>
      <c r="Q14" s="3" t="s">
        <v>104</v>
      </c>
      <c r="R14" s="3">
        <v>566</v>
      </c>
      <c r="S14" s="4">
        <v>-1499</v>
      </c>
      <c r="T14" s="4">
        <v>2276</v>
      </c>
      <c r="U14" s="4">
        <v>-1576</v>
      </c>
      <c r="V14" s="4">
        <v>7140</v>
      </c>
      <c r="W14" s="4">
        <v>5813</v>
      </c>
      <c r="Y14" s="3" t="s">
        <v>138</v>
      </c>
      <c r="Z14" s="3">
        <v>22.22</v>
      </c>
      <c r="AA14" s="3">
        <v>18.54</v>
      </c>
      <c r="AB14" s="3">
        <v>17.25</v>
      </c>
      <c r="AC14" s="3">
        <v>12.51</v>
      </c>
      <c r="AD14" s="3">
        <v>20.97</v>
      </c>
      <c r="AE14" s="3">
        <v>18.2</v>
      </c>
      <c r="AG14" s="14">
        <v>44834</v>
      </c>
      <c r="AH14" s="3" t="s">
        <v>256</v>
      </c>
      <c r="AI14" s="3" t="s">
        <v>13</v>
      </c>
      <c r="AJ14" s="3" t="s">
        <v>257</v>
      </c>
      <c r="AK14" s="3" t="s">
        <v>258</v>
      </c>
      <c r="AL14" s="3" t="s">
        <v>259</v>
      </c>
      <c r="AM14" s="3" t="s">
        <v>260</v>
      </c>
      <c r="AN14" s="3" t="s">
        <v>261</v>
      </c>
      <c r="AO14" s="3" t="s">
        <v>262</v>
      </c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</row>
    <row r="15" spans="1:70" x14ac:dyDescent="0.25">
      <c r="A15" s="3" t="s">
        <v>20</v>
      </c>
      <c r="B15" s="4">
        <v>19289</v>
      </c>
      <c r="C15" s="4">
        <v>17180</v>
      </c>
      <c r="D15" s="4">
        <v>12169</v>
      </c>
      <c r="E15" s="4">
        <v>5261</v>
      </c>
      <c r="F15" s="4">
        <v>1284</v>
      </c>
      <c r="G15" s="4">
        <v>1084</v>
      </c>
      <c r="I15" s="3" t="s">
        <v>63</v>
      </c>
      <c r="J15" s="3">
        <v>-173</v>
      </c>
      <c r="K15" s="3">
        <v>-409</v>
      </c>
      <c r="L15" s="4">
        <v>-1238</v>
      </c>
      <c r="M15" s="3">
        <v>-654</v>
      </c>
      <c r="N15" s="3">
        <v>-240</v>
      </c>
      <c r="O15" s="3">
        <v>-344</v>
      </c>
      <c r="Q15" s="1" t="s">
        <v>105</v>
      </c>
      <c r="R15" s="5">
        <v>133708</v>
      </c>
      <c r="S15" s="5">
        <v>125299</v>
      </c>
      <c r="T15" s="5">
        <v>101746</v>
      </c>
      <c r="U15" s="5">
        <v>91495</v>
      </c>
      <c r="V15" s="5">
        <v>91652</v>
      </c>
      <c r="W15" s="5">
        <v>65124</v>
      </c>
      <c r="Y15" s="3" t="s">
        <v>139</v>
      </c>
      <c r="Z15" s="3">
        <v>1.6</v>
      </c>
      <c r="AA15" s="3">
        <v>1.34</v>
      </c>
      <c r="AB15" s="3">
        <v>1.23</v>
      </c>
      <c r="AC15" s="3">
        <v>1.03</v>
      </c>
      <c r="AD15" s="3">
        <v>1.17</v>
      </c>
      <c r="AE15" s="3">
        <v>1.88</v>
      </c>
      <c r="AG15" s="14">
        <v>44742</v>
      </c>
      <c r="AH15" s="3" t="s">
        <v>263</v>
      </c>
      <c r="AI15" s="3" t="s">
        <v>13</v>
      </c>
      <c r="AJ15" s="3" t="s">
        <v>264</v>
      </c>
      <c r="AK15" s="3" t="s">
        <v>265</v>
      </c>
      <c r="AL15" s="3" t="s">
        <v>266</v>
      </c>
      <c r="AM15" s="3" t="s">
        <v>267</v>
      </c>
      <c r="AN15" s="3" t="s">
        <v>268</v>
      </c>
      <c r="AO15" s="3" t="s">
        <v>269</v>
      </c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</row>
    <row r="16" spans="1:70" x14ac:dyDescent="0.25">
      <c r="A16" s="3" t="s">
        <v>21</v>
      </c>
      <c r="B16" s="4">
        <v>14153</v>
      </c>
      <c r="C16" s="4">
        <v>11974</v>
      </c>
      <c r="D16" s="4">
        <v>9130</v>
      </c>
      <c r="E16" s="4">
        <v>8707</v>
      </c>
      <c r="F16" s="4">
        <v>5361</v>
      </c>
      <c r="G16" s="4">
        <v>3953</v>
      </c>
      <c r="I16" s="3" t="s">
        <v>64</v>
      </c>
      <c r="J16" s="3">
        <v>966</v>
      </c>
      <c r="K16" s="4">
        <v>1137</v>
      </c>
      <c r="L16" s="3">
        <v>556</v>
      </c>
      <c r="M16" s="4">
        <v>1179</v>
      </c>
      <c r="N16" s="4">
        <v>-1497</v>
      </c>
      <c r="O16" s="4">
        <v>-1246</v>
      </c>
      <c r="Q16" s="3" t="s">
        <v>106</v>
      </c>
      <c r="R16" s="7">
        <v>0.2727</v>
      </c>
      <c r="S16" s="7">
        <v>0.23150000000000001</v>
      </c>
      <c r="T16" s="7">
        <v>0.112</v>
      </c>
      <c r="U16" s="6">
        <v>-1.6999999999999999E-3</v>
      </c>
      <c r="V16" s="7">
        <v>0.4073</v>
      </c>
      <c r="W16" s="7">
        <v>0.19450000000000001</v>
      </c>
      <c r="Y16" s="3" t="s">
        <v>140</v>
      </c>
      <c r="Z16" s="3">
        <v>7.86</v>
      </c>
      <c r="AA16" s="3">
        <v>6.46</v>
      </c>
      <c r="AB16" s="3">
        <v>5.42</v>
      </c>
      <c r="AC16" s="3">
        <v>3.74</v>
      </c>
      <c r="AD16" s="3">
        <v>7.02</v>
      </c>
      <c r="AE16" s="3">
        <v>5.92</v>
      </c>
      <c r="AG16" s="14">
        <v>44651</v>
      </c>
      <c r="AH16" s="3" t="s">
        <v>270</v>
      </c>
      <c r="AI16" s="3" t="s">
        <v>13</v>
      </c>
      <c r="AJ16" s="3" t="s">
        <v>271</v>
      </c>
      <c r="AK16" s="3" t="s">
        <v>272</v>
      </c>
      <c r="AL16" s="3" t="s">
        <v>273</v>
      </c>
      <c r="AM16" s="3" t="s">
        <v>274</v>
      </c>
      <c r="AN16" s="3" t="s">
        <v>275</v>
      </c>
      <c r="AO16" s="3" t="s">
        <v>276</v>
      </c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</row>
    <row r="17" spans="1:70" x14ac:dyDescent="0.25">
      <c r="A17" s="8" t="s">
        <v>22</v>
      </c>
      <c r="B17" s="9">
        <v>502053</v>
      </c>
      <c r="C17" s="9">
        <v>450256</v>
      </c>
      <c r="D17" s="9">
        <v>402392</v>
      </c>
      <c r="E17" s="9">
        <v>365264</v>
      </c>
      <c r="F17" s="9">
        <v>359268</v>
      </c>
      <c r="G17" s="9">
        <v>319616</v>
      </c>
      <c r="I17" s="1" t="s">
        <v>65</v>
      </c>
      <c r="J17" s="5">
        <v>128142</v>
      </c>
      <c r="K17" s="5">
        <v>118940</v>
      </c>
      <c r="L17" s="5">
        <v>86540</v>
      </c>
      <c r="M17" s="5">
        <v>76847</v>
      </c>
      <c r="N17" s="5">
        <v>78464</v>
      </c>
      <c r="O17" s="5">
        <v>41765</v>
      </c>
      <c r="Q17" s="3" t="s">
        <v>107</v>
      </c>
      <c r="R17" s="4">
        <v>-66980</v>
      </c>
      <c r="S17" s="4">
        <v>-52535</v>
      </c>
      <c r="T17" s="4">
        <v>-32251</v>
      </c>
      <c r="U17" s="4">
        <v>-31485</v>
      </c>
      <c r="V17" s="4">
        <v>-24640</v>
      </c>
      <c r="W17" s="4">
        <v>-22281</v>
      </c>
      <c r="Y17" s="3" t="s">
        <v>141</v>
      </c>
      <c r="Z17" s="3">
        <v>20.72</v>
      </c>
      <c r="AA17" s="3">
        <v>17.45</v>
      </c>
      <c r="AB17" s="3">
        <v>17.309999999999999</v>
      </c>
      <c r="AC17" s="3">
        <v>11.98</v>
      </c>
      <c r="AD17" s="3">
        <v>20.309999999999999</v>
      </c>
      <c r="AE17" s="3">
        <v>19.670000000000002</v>
      </c>
      <c r="AG17" s="14">
        <v>44561</v>
      </c>
      <c r="AH17" s="3" t="s">
        <v>277</v>
      </c>
      <c r="AI17" s="3" t="s">
        <v>13</v>
      </c>
      <c r="AJ17" s="3" t="s">
        <v>278</v>
      </c>
      <c r="AK17" s="3" t="s">
        <v>279</v>
      </c>
      <c r="AL17" s="3" t="s">
        <v>280</v>
      </c>
      <c r="AM17" s="3" t="s">
        <v>281</v>
      </c>
      <c r="AN17" s="3" t="s">
        <v>282</v>
      </c>
      <c r="AO17" s="3" t="s">
        <v>283</v>
      </c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</row>
    <row r="18" spans="1:70" x14ac:dyDescent="0.25">
      <c r="A18" s="3" t="s">
        <v>23</v>
      </c>
      <c r="B18" s="4">
        <v>8347</v>
      </c>
      <c r="C18" s="4">
        <v>7987</v>
      </c>
      <c r="D18" s="4">
        <v>7493</v>
      </c>
      <c r="E18" s="4">
        <v>5128</v>
      </c>
      <c r="F18" s="4">
        <v>6037</v>
      </c>
      <c r="G18" s="4">
        <v>5589</v>
      </c>
      <c r="I18" s="3" t="s">
        <v>66</v>
      </c>
      <c r="J18" s="4">
        <v>-1796</v>
      </c>
      <c r="K18" s="4">
        <v>-1796</v>
      </c>
      <c r="L18" s="3" t="s">
        <v>13</v>
      </c>
      <c r="M18" s="3" t="s">
        <v>13</v>
      </c>
      <c r="N18" s="3" t="s">
        <v>13</v>
      </c>
      <c r="O18" s="3" t="s">
        <v>13</v>
      </c>
      <c r="Q18" s="3" t="s">
        <v>108</v>
      </c>
      <c r="R18" s="4">
        <v>-3197</v>
      </c>
      <c r="S18" s="4">
        <v>-2931</v>
      </c>
      <c r="T18" s="3">
        <v>-495</v>
      </c>
      <c r="U18" s="4">
        <v>-6969</v>
      </c>
      <c r="V18" s="4">
        <v>-2618</v>
      </c>
      <c r="W18" s="3">
        <v>-738</v>
      </c>
      <c r="Y18" s="3" t="s">
        <v>142</v>
      </c>
      <c r="Z18" s="3">
        <v>23.69</v>
      </c>
      <c r="AA18" s="3">
        <v>19.79</v>
      </c>
      <c r="AB18" s="3">
        <v>19.760000000000002</v>
      </c>
      <c r="AC18" s="3">
        <v>14.14</v>
      </c>
      <c r="AD18" s="3">
        <v>22.96</v>
      </c>
      <c r="AE18" s="3">
        <v>26.19</v>
      </c>
      <c r="AG18" s="14">
        <v>44469</v>
      </c>
      <c r="AH18" s="3" t="s">
        <v>284</v>
      </c>
      <c r="AI18" s="3" t="s">
        <v>13</v>
      </c>
      <c r="AJ18" s="3" t="s">
        <v>285</v>
      </c>
      <c r="AK18" s="3" t="s">
        <v>286</v>
      </c>
      <c r="AL18" s="3" t="s">
        <v>287</v>
      </c>
      <c r="AM18" s="3" t="s">
        <v>288</v>
      </c>
      <c r="AN18" s="3" t="s">
        <v>289</v>
      </c>
      <c r="AO18" s="3" t="s">
        <v>290</v>
      </c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</row>
    <row r="19" spans="1:70" x14ac:dyDescent="0.25">
      <c r="A19" s="3" t="s">
        <v>24</v>
      </c>
      <c r="B19" s="4">
        <v>36638</v>
      </c>
      <c r="C19" s="4">
        <v>41541</v>
      </c>
      <c r="D19" s="4">
        <v>36142</v>
      </c>
      <c r="E19" s="4">
        <v>31743</v>
      </c>
      <c r="F19" s="4">
        <v>27912</v>
      </c>
      <c r="G19" s="4">
        <v>20445</v>
      </c>
      <c r="I19" s="3" t="s">
        <v>67</v>
      </c>
      <c r="J19" s="4">
        <v>13325</v>
      </c>
      <c r="K19" s="4">
        <v>2671</v>
      </c>
      <c r="L19" s="3">
        <v>-823</v>
      </c>
      <c r="M19" s="4">
        <v>-5519</v>
      </c>
      <c r="N19" s="4">
        <v>12270</v>
      </c>
      <c r="O19" s="4">
        <v>6317</v>
      </c>
      <c r="Q19" s="3" t="s">
        <v>109</v>
      </c>
      <c r="R19" s="4">
        <v>-1754</v>
      </c>
      <c r="S19" s="4">
        <v>12597</v>
      </c>
      <c r="T19" s="4">
        <v>6734</v>
      </c>
      <c r="U19" s="4">
        <v>16567</v>
      </c>
      <c r="V19" s="4">
        <v>-8806</v>
      </c>
      <c r="W19" s="4">
        <v>-9822</v>
      </c>
      <c r="Y19" s="3" t="s">
        <v>143</v>
      </c>
      <c r="Z19" s="3">
        <v>43.73</v>
      </c>
      <c r="AA19" s="3">
        <v>31.05</v>
      </c>
      <c r="AB19" s="3">
        <v>23.97</v>
      </c>
      <c r="AC19" s="3">
        <v>17.63</v>
      </c>
      <c r="AD19" s="3">
        <v>26.97</v>
      </c>
      <c r="AE19" s="3">
        <v>25.2</v>
      </c>
      <c r="AG19" s="14">
        <v>44377</v>
      </c>
      <c r="AH19" s="3" t="s">
        <v>291</v>
      </c>
      <c r="AI19" s="3" t="s">
        <v>13</v>
      </c>
      <c r="AJ19" s="3" t="s">
        <v>292</v>
      </c>
      <c r="AK19" s="3" t="s">
        <v>293</v>
      </c>
      <c r="AL19" s="3" t="s">
        <v>294</v>
      </c>
      <c r="AM19" s="3" t="s">
        <v>295</v>
      </c>
      <c r="AN19" s="3" t="s">
        <v>296</v>
      </c>
      <c r="AO19" s="3" t="s">
        <v>297</v>
      </c>
    </row>
    <row r="20" spans="1:70" x14ac:dyDescent="0.25">
      <c r="A20" s="3" t="s">
        <v>25</v>
      </c>
      <c r="B20" s="4">
        <v>1000</v>
      </c>
      <c r="C20" s="3">
        <v>999</v>
      </c>
      <c r="D20" s="4">
        <v>1000</v>
      </c>
      <c r="E20" s="3" t="s">
        <v>13</v>
      </c>
      <c r="F20" s="3" t="s">
        <v>13</v>
      </c>
      <c r="G20" s="3">
        <v>999</v>
      </c>
      <c r="I20" s="1" t="s">
        <v>68</v>
      </c>
      <c r="J20" s="5">
        <v>139671</v>
      </c>
      <c r="K20" s="5">
        <v>119815</v>
      </c>
      <c r="L20" s="5">
        <v>85717</v>
      </c>
      <c r="M20" s="5">
        <v>71328</v>
      </c>
      <c r="N20" s="5">
        <v>90734</v>
      </c>
      <c r="O20" s="5">
        <v>48082</v>
      </c>
      <c r="Q20" s="3" t="s">
        <v>110</v>
      </c>
      <c r="R20" s="4">
        <v>-2998</v>
      </c>
      <c r="S20" s="4">
        <v>-2667</v>
      </c>
      <c r="T20" s="4">
        <v>-1051</v>
      </c>
      <c r="U20" s="4">
        <v>1589</v>
      </c>
      <c r="V20" s="3">
        <v>541</v>
      </c>
      <c r="W20" s="3">
        <v>68</v>
      </c>
      <c r="Y20" s="3" t="s">
        <v>144</v>
      </c>
      <c r="Z20" s="3">
        <v>0.12</v>
      </c>
      <c r="AA20" s="3">
        <v>0.09</v>
      </c>
      <c r="AB20" s="3">
        <v>0.11</v>
      </c>
      <c r="AC20" s="3">
        <v>0.12</v>
      </c>
      <c r="AD20" s="3">
        <v>0.11</v>
      </c>
      <c r="AE20" s="3">
        <v>0.13</v>
      </c>
      <c r="AG20" s="14">
        <v>44286</v>
      </c>
      <c r="AH20" s="3" t="s">
        <v>298</v>
      </c>
      <c r="AI20" s="3" t="s">
        <v>13</v>
      </c>
      <c r="AJ20" s="3" t="s">
        <v>299</v>
      </c>
      <c r="AK20" s="3" t="s">
        <v>300</v>
      </c>
      <c r="AL20" s="3" t="s">
        <v>301</v>
      </c>
      <c r="AM20" s="3" t="s">
        <v>302</v>
      </c>
      <c r="AN20" s="3" t="s">
        <v>303</v>
      </c>
      <c r="AO20" s="3" t="s">
        <v>304</v>
      </c>
    </row>
    <row r="21" spans="1:70" x14ac:dyDescent="0.25">
      <c r="A21" s="3" t="s">
        <v>26</v>
      </c>
      <c r="B21" s="4">
        <v>3107</v>
      </c>
      <c r="C21" s="4">
        <v>3122</v>
      </c>
      <c r="D21" s="4">
        <v>3074</v>
      </c>
      <c r="E21" s="4">
        <v>2775</v>
      </c>
      <c r="F21" s="4">
        <v>2302</v>
      </c>
      <c r="G21" s="4">
        <v>1795</v>
      </c>
      <c r="I21" s="3" t="s">
        <v>69</v>
      </c>
      <c r="J21" s="4">
        <v>24098</v>
      </c>
      <c r="K21" s="4">
        <v>19697</v>
      </c>
      <c r="L21" s="4">
        <v>11922</v>
      </c>
      <c r="M21" s="4">
        <v>11356</v>
      </c>
      <c r="N21" s="4">
        <v>14701</v>
      </c>
      <c r="O21" s="4">
        <v>7813</v>
      </c>
      <c r="Q21" s="1" t="s">
        <v>111</v>
      </c>
      <c r="R21" s="5">
        <v>-74929</v>
      </c>
      <c r="S21" s="5">
        <v>-45536</v>
      </c>
      <c r="T21" s="5">
        <v>-27063</v>
      </c>
      <c r="U21" s="5">
        <v>-20298</v>
      </c>
      <c r="V21" s="5">
        <v>-35523</v>
      </c>
      <c r="W21" s="5">
        <v>-32773</v>
      </c>
      <c r="Y21" s="3" t="s">
        <v>145</v>
      </c>
      <c r="Z21" s="3">
        <v>0.28999999999999998</v>
      </c>
      <c r="AA21" s="3">
        <v>0.21</v>
      </c>
      <c r="AB21" s="3">
        <v>0.3</v>
      </c>
      <c r="AC21" s="3">
        <v>0.33</v>
      </c>
      <c r="AD21" s="3">
        <v>0.31</v>
      </c>
      <c r="AE21" s="3">
        <v>0.48</v>
      </c>
      <c r="AG21" s="14">
        <v>44196</v>
      </c>
      <c r="AH21" s="3" t="s">
        <v>305</v>
      </c>
      <c r="AI21" s="3" t="s">
        <v>13</v>
      </c>
      <c r="AJ21" s="3" t="s">
        <v>306</v>
      </c>
      <c r="AK21" s="3" t="s">
        <v>307</v>
      </c>
      <c r="AL21" s="3" t="s">
        <v>308</v>
      </c>
      <c r="AM21" s="3" t="s">
        <v>309</v>
      </c>
      <c r="AN21" s="3" t="s">
        <v>310</v>
      </c>
      <c r="AO21" s="3" t="s">
        <v>311</v>
      </c>
    </row>
    <row r="22" spans="1:70" x14ac:dyDescent="0.25">
      <c r="A22" s="3" t="s">
        <v>27</v>
      </c>
      <c r="B22" s="3">
        <v>786</v>
      </c>
      <c r="C22" s="4">
        <v>2905</v>
      </c>
      <c r="D22" s="4">
        <v>2748</v>
      </c>
      <c r="E22" s="4">
        <v>1632</v>
      </c>
      <c r="F22" s="3" t="s">
        <v>13</v>
      </c>
      <c r="G22" s="4">
        <v>1485</v>
      </c>
      <c r="I22" s="3" t="s">
        <v>70</v>
      </c>
      <c r="J22" s="4">
        <v>115573</v>
      </c>
      <c r="K22" s="4">
        <v>100118</v>
      </c>
      <c r="L22" s="4">
        <v>73795</v>
      </c>
      <c r="M22" s="4">
        <v>59972</v>
      </c>
      <c r="N22" s="4">
        <v>76033</v>
      </c>
      <c r="O22" s="4">
        <v>40269</v>
      </c>
      <c r="Q22" s="3" t="s">
        <v>112</v>
      </c>
      <c r="R22" s="3" t="s">
        <v>13</v>
      </c>
      <c r="S22" s="4">
        <v>13589</v>
      </c>
      <c r="T22" s="4">
        <v>10790</v>
      </c>
      <c r="U22" s="4">
        <v>52872</v>
      </c>
      <c r="V22" s="4">
        <v>20199</v>
      </c>
      <c r="W22" s="4">
        <v>11761</v>
      </c>
      <c r="Y22" s="3" t="s">
        <v>146</v>
      </c>
      <c r="Z22" s="3">
        <v>0.62</v>
      </c>
      <c r="AA22" s="3">
        <v>0.39</v>
      </c>
      <c r="AB22" s="3">
        <v>0.43</v>
      </c>
      <c r="AC22" s="3">
        <v>0.5</v>
      </c>
      <c r="AD22" s="3">
        <v>0.43</v>
      </c>
      <c r="AE22" s="3">
        <v>0.65</v>
      </c>
      <c r="AG22" s="14">
        <v>44104</v>
      </c>
      <c r="AH22" s="3" t="s">
        <v>312</v>
      </c>
      <c r="AI22" s="3" t="s">
        <v>13</v>
      </c>
      <c r="AJ22" s="3" t="s">
        <v>313</v>
      </c>
      <c r="AK22" s="3" t="s">
        <v>314</v>
      </c>
      <c r="AL22" s="3" t="s">
        <v>315</v>
      </c>
      <c r="AM22" s="3" t="s">
        <v>307</v>
      </c>
      <c r="AN22" s="3" t="s">
        <v>316</v>
      </c>
      <c r="AO22" s="3" t="s">
        <v>317</v>
      </c>
    </row>
    <row r="23" spans="1:70" x14ac:dyDescent="0.25">
      <c r="A23" s="3" t="s">
        <v>28</v>
      </c>
      <c r="B23" s="4">
        <v>4969</v>
      </c>
      <c r="C23" s="4">
        <v>5036</v>
      </c>
      <c r="D23" s="4">
        <v>4137</v>
      </c>
      <c r="E23" s="4">
        <v>3908</v>
      </c>
      <c r="F23" s="4">
        <v>3288</v>
      </c>
      <c r="G23" s="4">
        <v>2543</v>
      </c>
      <c r="I23" s="3" t="s">
        <v>71</v>
      </c>
      <c r="J23" s="4">
        <v>115573</v>
      </c>
      <c r="K23" s="4">
        <v>100118</v>
      </c>
      <c r="L23" s="4">
        <v>73795</v>
      </c>
      <c r="M23" s="4">
        <v>59972</v>
      </c>
      <c r="N23" s="4">
        <v>76033</v>
      </c>
      <c r="O23" s="4">
        <v>40269</v>
      </c>
      <c r="Q23" s="3" t="s">
        <v>113</v>
      </c>
      <c r="R23" s="3" t="s">
        <v>13</v>
      </c>
      <c r="S23" s="4">
        <v>-12701</v>
      </c>
      <c r="T23" s="4">
        <v>-11550</v>
      </c>
      <c r="U23" s="4">
        <v>-54068</v>
      </c>
      <c r="V23" s="4">
        <v>-21435</v>
      </c>
      <c r="W23" s="4">
        <v>-2100</v>
      </c>
      <c r="Y23" s="3" t="s">
        <v>147</v>
      </c>
      <c r="Z23" s="3">
        <v>0.81</v>
      </c>
      <c r="AA23" s="3">
        <v>0.82</v>
      </c>
      <c r="AB23" s="3">
        <v>0.8</v>
      </c>
      <c r="AC23" s="3">
        <v>0.78</v>
      </c>
      <c r="AD23" s="3">
        <v>0.76</v>
      </c>
      <c r="AE23" s="3">
        <v>0.61</v>
      </c>
    </row>
    <row r="24" spans="1:70" x14ac:dyDescent="0.25">
      <c r="A24" s="3" t="s">
        <v>29</v>
      </c>
      <c r="B24" s="4">
        <v>32463</v>
      </c>
      <c r="C24" s="4">
        <v>27532</v>
      </c>
      <c r="D24" s="4">
        <v>27220</v>
      </c>
      <c r="E24" s="4">
        <v>24114</v>
      </c>
      <c r="F24" s="4">
        <v>24715</v>
      </c>
      <c r="G24" s="4">
        <v>23978</v>
      </c>
      <c r="I24" s="1" t="s">
        <v>72</v>
      </c>
      <c r="J24" s="5">
        <v>115573</v>
      </c>
      <c r="K24" s="5">
        <v>100118</v>
      </c>
      <c r="L24" s="5">
        <v>73795</v>
      </c>
      <c r="M24" s="5">
        <v>59972</v>
      </c>
      <c r="N24" s="5">
        <v>76033</v>
      </c>
      <c r="O24" s="5">
        <v>40269</v>
      </c>
      <c r="Q24" s="3" t="s">
        <v>114</v>
      </c>
      <c r="R24" s="4">
        <v>14496</v>
      </c>
      <c r="S24" s="3">
        <v>888</v>
      </c>
      <c r="T24" s="3">
        <v>-760</v>
      </c>
      <c r="U24" s="4">
        <v>-1196</v>
      </c>
      <c r="V24" s="4">
        <v>-1236</v>
      </c>
      <c r="W24" s="4">
        <v>9661</v>
      </c>
      <c r="Y24" s="3" t="s">
        <v>148</v>
      </c>
      <c r="Z24" s="3">
        <v>1.72</v>
      </c>
      <c r="AA24" s="3">
        <v>1.66</v>
      </c>
      <c r="AB24" s="3">
        <v>1.94</v>
      </c>
      <c r="AC24" s="3">
        <v>2.2200000000000002</v>
      </c>
      <c r="AD24" s="3">
        <v>2.79</v>
      </c>
      <c r="AE24" s="3">
        <v>2.96</v>
      </c>
    </row>
    <row r="25" spans="1:70" x14ac:dyDescent="0.25">
      <c r="A25" s="1" t="s">
        <v>30</v>
      </c>
      <c r="B25" s="5">
        <v>87310</v>
      </c>
      <c r="C25" s="5">
        <v>89122</v>
      </c>
      <c r="D25" s="5">
        <v>81814</v>
      </c>
      <c r="E25" s="5">
        <v>69300</v>
      </c>
      <c r="F25" s="5">
        <v>64254</v>
      </c>
      <c r="G25" s="5">
        <v>56834</v>
      </c>
      <c r="I25" s="3" t="s">
        <v>73</v>
      </c>
      <c r="J25" s="7">
        <v>0.31850000000000001</v>
      </c>
      <c r="K25" s="7">
        <v>0.35670000000000002</v>
      </c>
      <c r="L25" s="7">
        <v>0.23050000000000001</v>
      </c>
      <c r="M25" s="6">
        <v>-0.2112</v>
      </c>
      <c r="N25" s="7">
        <v>0.8881</v>
      </c>
      <c r="O25" s="7">
        <v>0.1726</v>
      </c>
      <c r="Q25" s="3" t="s">
        <v>115</v>
      </c>
      <c r="R25" s="4">
        <v>-59548</v>
      </c>
      <c r="S25" s="4">
        <v>-62222</v>
      </c>
      <c r="T25" s="4">
        <v>-61504</v>
      </c>
      <c r="U25" s="4">
        <v>-59296</v>
      </c>
      <c r="V25" s="4">
        <v>-50274</v>
      </c>
      <c r="W25" s="4">
        <v>-31149</v>
      </c>
      <c r="Y25" s="3" t="s">
        <v>149</v>
      </c>
      <c r="Z25" s="3">
        <v>1.9</v>
      </c>
      <c r="AA25" s="3">
        <v>1.84</v>
      </c>
      <c r="AB25" s="3">
        <v>2.1</v>
      </c>
      <c r="AC25" s="3">
        <v>2.38</v>
      </c>
      <c r="AD25" s="3">
        <v>2.93</v>
      </c>
      <c r="AE25" s="3">
        <v>3.07</v>
      </c>
    </row>
    <row r="26" spans="1:70" x14ac:dyDescent="0.25">
      <c r="A26" s="3" t="s">
        <v>31</v>
      </c>
      <c r="B26" s="4">
        <v>23607</v>
      </c>
      <c r="C26" s="4">
        <v>10883</v>
      </c>
      <c r="D26" s="4">
        <v>11870</v>
      </c>
      <c r="E26" s="4">
        <v>12857</v>
      </c>
      <c r="F26" s="4">
        <v>12844</v>
      </c>
      <c r="G26" s="4">
        <v>12832</v>
      </c>
      <c r="I26" s="3" t="s">
        <v>74</v>
      </c>
      <c r="J26" s="4">
        <v>12206</v>
      </c>
      <c r="K26" s="4">
        <v>12319</v>
      </c>
      <c r="L26" s="4">
        <v>12630</v>
      </c>
      <c r="M26" s="4">
        <v>13063</v>
      </c>
      <c r="N26" s="4">
        <v>13353</v>
      </c>
      <c r="O26" s="4">
        <v>13616</v>
      </c>
      <c r="Q26" s="3" t="s">
        <v>116</v>
      </c>
      <c r="R26" s="4">
        <v>-9874</v>
      </c>
      <c r="S26" s="4">
        <v>-7363</v>
      </c>
      <c r="T26" s="3" t="s">
        <v>13</v>
      </c>
      <c r="U26" s="3" t="s">
        <v>13</v>
      </c>
      <c r="V26" s="3" t="s">
        <v>13</v>
      </c>
      <c r="W26" s="3" t="s">
        <v>13</v>
      </c>
      <c r="Y26" s="3" t="s">
        <v>150</v>
      </c>
      <c r="Z26" s="11">
        <v>0.3483</v>
      </c>
      <c r="AA26" s="11">
        <v>0.3291</v>
      </c>
      <c r="AB26" s="11">
        <v>0.27360000000000001</v>
      </c>
      <c r="AC26" s="11">
        <v>0.23619999999999999</v>
      </c>
      <c r="AD26" s="11">
        <v>0.32069999999999999</v>
      </c>
      <c r="AE26" s="11">
        <v>0.19</v>
      </c>
    </row>
    <row r="27" spans="1:70" x14ac:dyDescent="0.25">
      <c r="A27" s="3" t="s">
        <v>32</v>
      </c>
      <c r="B27" s="4">
        <v>13954</v>
      </c>
      <c r="C27" s="4">
        <v>13133</v>
      </c>
      <c r="D27" s="4">
        <v>13843</v>
      </c>
      <c r="E27" s="4">
        <v>14345</v>
      </c>
      <c r="F27" s="4">
        <v>13362</v>
      </c>
      <c r="G27" s="4">
        <v>12246</v>
      </c>
      <c r="I27" s="1" t="s">
        <v>75</v>
      </c>
      <c r="J27" s="5">
        <v>12314</v>
      </c>
      <c r="K27" s="5">
        <v>12447</v>
      </c>
      <c r="L27" s="5">
        <v>12722</v>
      </c>
      <c r="M27" s="5">
        <v>13159</v>
      </c>
      <c r="N27" s="5">
        <v>13553</v>
      </c>
      <c r="O27" s="5">
        <v>13741</v>
      </c>
      <c r="Q27" s="3" t="s">
        <v>117</v>
      </c>
      <c r="R27" s="4">
        <v>-10237</v>
      </c>
      <c r="S27" s="4">
        <v>-11036</v>
      </c>
      <c r="T27" s="4">
        <v>-9829</v>
      </c>
      <c r="U27" s="4">
        <v>-9265</v>
      </c>
      <c r="V27" s="4">
        <v>-9852</v>
      </c>
      <c r="W27" s="4">
        <v>-2920</v>
      </c>
      <c r="Y27" s="3" t="s">
        <v>151</v>
      </c>
      <c r="Z27" s="11">
        <v>0.16789999999999999</v>
      </c>
      <c r="AA27" s="11">
        <v>0.16739999999999999</v>
      </c>
      <c r="AB27" s="11">
        <v>0.13730000000000001</v>
      </c>
      <c r="AC27" s="11">
        <v>0.12909999999999999</v>
      </c>
      <c r="AD27" s="11">
        <v>0.1449</v>
      </c>
      <c r="AE27" s="11">
        <v>8.6499999999999994E-2</v>
      </c>
    </row>
    <row r="28" spans="1:70" x14ac:dyDescent="0.25">
      <c r="A28" s="3" t="s">
        <v>33</v>
      </c>
      <c r="B28" s="4">
        <v>14266</v>
      </c>
      <c r="C28" s="4">
        <v>12034</v>
      </c>
      <c r="D28" s="4">
        <v>11486</v>
      </c>
      <c r="E28" s="4">
        <v>11505</v>
      </c>
      <c r="F28" s="4">
        <v>11381</v>
      </c>
      <c r="G28" s="4">
        <v>11118</v>
      </c>
      <c r="I28" s="3" t="s">
        <v>76</v>
      </c>
      <c r="J28" s="7">
        <v>-2.12E-2</v>
      </c>
      <c r="K28" s="7">
        <v>-2.1600000000000001E-2</v>
      </c>
      <c r="L28" s="7">
        <v>-3.32E-2</v>
      </c>
      <c r="M28" s="7">
        <v>-2.9100000000000001E-2</v>
      </c>
      <c r="N28" s="7">
        <v>-1.37E-2</v>
      </c>
      <c r="O28" s="7">
        <v>-1.6500000000000001E-2</v>
      </c>
      <c r="Q28" s="1" t="s">
        <v>118</v>
      </c>
      <c r="R28" s="5">
        <v>-65163</v>
      </c>
      <c r="S28" s="5">
        <v>-79733</v>
      </c>
      <c r="T28" s="5">
        <v>-72093</v>
      </c>
      <c r="U28" s="5">
        <v>-69757</v>
      </c>
      <c r="V28" s="5">
        <v>-61362</v>
      </c>
      <c r="W28" s="5">
        <v>-24408</v>
      </c>
      <c r="Y28" s="3" t="s">
        <v>152</v>
      </c>
      <c r="Z28" s="11">
        <v>0.2097</v>
      </c>
      <c r="AA28" s="11">
        <v>0.2142</v>
      </c>
      <c r="AB28" s="11">
        <v>0.17580000000000001</v>
      </c>
      <c r="AC28" s="11">
        <v>0.16520000000000001</v>
      </c>
      <c r="AD28" s="11">
        <v>0.1855</v>
      </c>
      <c r="AE28" s="11">
        <v>0.1101</v>
      </c>
    </row>
    <row r="29" spans="1:70" x14ac:dyDescent="0.25">
      <c r="A29" s="8" t="s">
        <v>34</v>
      </c>
      <c r="B29" s="9">
        <v>139137</v>
      </c>
      <c r="C29" s="9">
        <v>125172</v>
      </c>
      <c r="D29" s="9">
        <v>119013</v>
      </c>
      <c r="E29" s="9">
        <v>109120</v>
      </c>
      <c r="F29" s="9">
        <v>107633</v>
      </c>
      <c r="G29" s="9">
        <v>97072</v>
      </c>
      <c r="I29" s="3" t="s">
        <v>77</v>
      </c>
      <c r="J29" s="3">
        <v>9.4700000000000006</v>
      </c>
      <c r="K29" s="3">
        <v>8.1300000000000008</v>
      </c>
      <c r="L29" s="3">
        <v>5.84</v>
      </c>
      <c r="M29" s="3">
        <v>4.59</v>
      </c>
      <c r="N29" s="3">
        <v>5.69</v>
      </c>
      <c r="O29" s="3">
        <v>2.96</v>
      </c>
      <c r="Q29" s="3" t="s">
        <v>119</v>
      </c>
      <c r="R29" s="3">
        <v>195</v>
      </c>
      <c r="S29" s="3">
        <v>-612</v>
      </c>
      <c r="T29" s="3">
        <v>-421</v>
      </c>
      <c r="U29" s="3">
        <v>-506</v>
      </c>
      <c r="V29" s="3">
        <v>-287</v>
      </c>
      <c r="W29" s="3">
        <v>24</v>
      </c>
      <c r="Y29" s="3" t="s">
        <v>153</v>
      </c>
      <c r="Z29" s="11">
        <v>0.29699999999999999</v>
      </c>
      <c r="AA29" s="11">
        <v>0.316</v>
      </c>
      <c r="AB29" s="11">
        <v>0.26300000000000001</v>
      </c>
      <c r="AC29" s="11">
        <v>0.253</v>
      </c>
      <c r="AD29" s="11">
        <v>0.26700000000000002</v>
      </c>
      <c r="AE29" s="11">
        <v>0.157</v>
      </c>
    </row>
    <row r="30" spans="1:70" x14ac:dyDescent="0.25">
      <c r="A30" s="3" t="s">
        <v>35</v>
      </c>
      <c r="B30" s="4">
        <v>89283</v>
      </c>
      <c r="C30" s="4">
        <v>84800</v>
      </c>
      <c r="D30" s="4">
        <v>76534</v>
      </c>
      <c r="E30" s="4">
        <v>68184</v>
      </c>
      <c r="F30" s="4">
        <v>61774</v>
      </c>
      <c r="G30" s="4">
        <v>58510</v>
      </c>
      <c r="I30" s="1" t="s">
        <v>78</v>
      </c>
      <c r="J30" s="1">
        <v>9.39</v>
      </c>
      <c r="K30" s="1">
        <v>8.0399999999999991</v>
      </c>
      <c r="L30" s="1">
        <v>5.8</v>
      </c>
      <c r="M30" s="1">
        <v>4.5599999999999996</v>
      </c>
      <c r="N30" s="1">
        <v>5.61</v>
      </c>
      <c r="O30" s="1">
        <v>2.93</v>
      </c>
      <c r="Q30" s="1" t="s">
        <v>120</v>
      </c>
      <c r="R30" s="5">
        <v>-6189</v>
      </c>
      <c r="S30" s="1">
        <v>-582</v>
      </c>
      <c r="T30" s="5">
        <v>2169</v>
      </c>
      <c r="U30" s="1">
        <v>934</v>
      </c>
      <c r="V30" s="5">
        <v>-5520</v>
      </c>
      <c r="W30" s="5">
        <v>7967</v>
      </c>
      <c r="Y30" s="3" t="s">
        <v>154</v>
      </c>
      <c r="Z30" s="11">
        <v>3.8899999999999997E-2</v>
      </c>
      <c r="AA30" s="11">
        <v>4.3099999999999999E-2</v>
      </c>
      <c r="AB30" s="11">
        <v>4.2000000000000003E-2</v>
      </c>
      <c r="AC30" s="11">
        <v>5.2400000000000002E-2</v>
      </c>
      <c r="AD30" s="11">
        <v>3.9600000000000003E-2</v>
      </c>
      <c r="AE30" s="11">
        <v>3.4000000000000002E-2</v>
      </c>
    </row>
    <row r="31" spans="1:70" x14ac:dyDescent="0.25">
      <c r="A31" s="3" t="s">
        <v>36</v>
      </c>
      <c r="B31" s="4">
        <v>275760</v>
      </c>
      <c r="C31" s="4">
        <v>245084</v>
      </c>
      <c r="D31" s="4">
        <v>211247</v>
      </c>
      <c r="E31" s="4">
        <v>195563</v>
      </c>
      <c r="F31" s="4">
        <v>191484</v>
      </c>
      <c r="G31" s="4">
        <v>163401</v>
      </c>
      <c r="I31" s="3" t="s">
        <v>79</v>
      </c>
      <c r="J31" s="7">
        <v>0.34699999999999998</v>
      </c>
      <c r="K31" s="7">
        <v>0.38669999999999999</v>
      </c>
      <c r="L31" s="7">
        <v>0.27279999999999999</v>
      </c>
      <c r="M31" s="6">
        <v>-0.18759999999999999</v>
      </c>
      <c r="N31" s="7">
        <v>0.9143</v>
      </c>
      <c r="O31" s="7">
        <v>0.19220000000000001</v>
      </c>
      <c r="Q31" s="1" t="s">
        <v>80</v>
      </c>
      <c r="R31" s="5">
        <v>66728</v>
      </c>
      <c r="S31" s="5">
        <v>72764</v>
      </c>
      <c r="T31" s="5">
        <v>69495</v>
      </c>
      <c r="U31" s="5">
        <v>60010</v>
      </c>
      <c r="V31" s="5">
        <v>67012</v>
      </c>
      <c r="W31" s="5">
        <v>42843</v>
      </c>
      <c r="Y31" s="3" t="s">
        <v>155</v>
      </c>
      <c r="Z31" s="11">
        <v>2.2499999999999999E-2</v>
      </c>
      <c r="AA31" s="11">
        <v>3.1300000000000001E-2</v>
      </c>
      <c r="AB31" s="11">
        <v>3.9600000000000003E-2</v>
      </c>
      <c r="AC31" s="11">
        <v>5.2400000000000002E-2</v>
      </c>
      <c r="AD31" s="11">
        <v>3.49E-2</v>
      </c>
      <c r="AE31" s="11">
        <v>3.6200000000000003E-2</v>
      </c>
    </row>
    <row r="32" spans="1:70" x14ac:dyDescent="0.25">
      <c r="A32" s="3" t="s">
        <v>37</v>
      </c>
      <c r="B32" s="4">
        <v>-2127</v>
      </c>
      <c r="C32" s="4">
        <v>-4800</v>
      </c>
      <c r="D32" s="4">
        <v>-4402</v>
      </c>
      <c r="E32" s="4">
        <v>-7603</v>
      </c>
      <c r="F32" s="4">
        <v>-1623</v>
      </c>
      <c r="G32" s="3">
        <v>633</v>
      </c>
      <c r="I32" s="1" t="s">
        <v>80</v>
      </c>
      <c r="J32" s="5">
        <v>66728</v>
      </c>
      <c r="K32" s="5">
        <v>72764</v>
      </c>
      <c r="L32" s="5">
        <v>69495</v>
      </c>
      <c r="M32" s="5">
        <v>60010</v>
      </c>
      <c r="N32" s="5">
        <v>67012</v>
      </c>
      <c r="O32" s="5">
        <v>42843</v>
      </c>
      <c r="Q32" s="3" t="s">
        <v>121</v>
      </c>
      <c r="R32" s="7">
        <v>9.7699999999999995E-2</v>
      </c>
      <c r="S32" s="7">
        <v>4.7E-2</v>
      </c>
      <c r="T32" s="7">
        <v>0.15809999999999999</v>
      </c>
      <c r="U32" s="6">
        <v>-0.1045</v>
      </c>
      <c r="V32" s="7">
        <v>0.56410000000000005</v>
      </c>
      <c r="W32" s="7">
        <v>0.38329999999999997</v>
      </c>
      <c r="Y32" s="3" t="s">
        <v>156</v>
      </c>
      <c r="Z32" s="11">
        <v>3.3999999999999998E-3</v>
      </c>
      <c r="AA32" s="11">
        <v>4.1999999999999997E-3</v>
      </c>
      <c r="AB32" s="3" t="s">
        <v>13</v>
      </c>
      <c r="AC32" s="3" t="s">
        <v>13</v>
      </c>
      <c r="AD32" s="3" t="s">
        <v>13</v>
      </c>
      <c r="AE32" s="3" t="s">
        <v>13</v>
      </c>
    </row>
    <row r="33" spans="1:31" x14ac:dyDescent="0.25">
      <c r="A33" s="8" t="s">
        <v>38</v>
      </c>
      <c r="B33" s="9">
        <v>362916</v>
      </c>
      <c r="C33" s="9">
        <v>325084</v>
      </c>
      <c r="D33" s="9">
        <v>283379</v>
      </c>
      <c r="E33" s="9">
        <v>256144</v>
      </c>
      <c r="F33" s="9">
        <v>251635</v>
      </c>
      <c r="G33" s="9">
        <v>222544</v>
      </c>
      <c r="I33" s="3" t="s">
        <v>81</v>
      </c>
      <c r="J33" s="3">
        <v>5.42</v>
      </c>
      <c r="K33" s="3">
        <v>5.85</v>
      </c>
      <c r="L33" s="3">
        <v>5.46</v>
      </c>
      <c r="M33" s="3">
        <v>4.5599999999999996</v>
      </c>
      <c r="N33" s="3">
        <v>4.9400000000000004</v>
      </c>
      <c r="O33" s="3">
        <v>3.12</v>
      </c>
      <c r="Q33" s="3" t="s">
        <v>86</v>
      </c>
      <c r="R33" s="11">
        <v>0.1797</v>
      </c>
      <c r="S33" s="11">
        <v>0.2079</v>
      </c>
      <c r="T33" s="11">
        <v>0.2261</v>
      </c>
      <c r="U33" s="11">
        <v>0.2122</v>
      </c>
      <c r="V33" s="11">
        <v>0.2601</v>
      </c>
      <c r="W33" s="11">
        <v>0.23469999999999999</v>
      </c>
      <c r="Y33" s="3" t="s">
        <v>157</v>
      </c>
      <c r="Z33" s="11">
        <v>8.9499999999999996E-2</v>
      </c>
      <c r="AA33" s="11">
        <v>7.3499999999999996E-2</v>
      </c>
      <c r="AB33" s="3" t="s">
        <v>13</v>
      </c>
      <c r="AC33" s="3" t="s">
        <v>13</v>
      </c>
      <c r="AD33" s="3" t="s">
        <v>13</v>
      </c>
      <c r="AE33" s="3" t="s">
        <v>13</v>
      </c>
    </row>
    <row r="34" spans="1:31" x14ac:dyDescent="0.25">
      <c r="A34" s="3" t="s">
        <v>39</v>
      </c>
      <c r="B34" s="4">
        <v>502053</v>
      </c>
      <c r="C34" s="4">
        <v>450256</v>
      </c>
      <c r="D34" s="4">
        <v>402392</v>
      </c>
      <c r="E34" s="4">
        <v>365264</v>
      </c>
      <c r="F34" s="4">
        <v>359268</v>
      </c>
      <c r="G34" s="4">
        <v>319616</v>
      </c>
      <c r="I34" s="1" t="s">
        <v>82</v>
      </c>
      <c r="J34" s="1">
        <v>1.01</v>
      </c>
      <c r="K34" s="1">
        <v>0.8</v>
      </c>
      <c r="L34" s="1" t="s">
        <v>13</v>
      </c>
      <c r="M34" s="1" t="s">
        <v>13</v>
      </c>
      <c r="N34" s="1" t="s">
        <v>13</v>
      </c>
      <c r="O34" s="1" t="s">
        <v>13</v>
      </c>
      <c r="Q34" s="3" t="s">
        <v>81</v>
      </c>
      <c r="R34" s="3">
        <v>5.42</v>
      </c>
      <c r="S34" s="3">
        <v>5.85</v>
      </c>
      <c r="T34" s="3">
        <v>5.46</v>
      </c>
      <c r="U34" s="3">
        <v>4.5599999999999996</v>
      </c>
      <c r="V34" s="3">
        <v>4.9400000000000004</v>
      </c>
      <c r="W34" s="3">
        <v>3.12</v>
      </c>
      <c r="Y34" s="3" t="s">
        <v>158</v>
      </c>
      <c r="Z34" s="11">
        <v>2.12E-2</v>
      </c>
      <c r="AA34" s="11">
        <v>2.1600000000000001E-2</v>
      </c>
      <c r="AB34" s="11">
        <v>3.32E-2</v>
      </c>
      <c r="AC34" s="11">
        <v>2.9100000000000001E-2</v>
      </c>
      <c r="AD34" s="11">
        <v>1.37E-2</v>
      </c>
      <c r="AE34" s="11">
        <v>1.6500000000000001E-2</v>
      </c>
    </row>
    <row r="35" spans="1:31" x14ac:dyDescent="0.25">
      <c r="A35" s="3" t="s">
        <v>40</v>
      </c>
      <c r="B35" s="4">
        <v>41668</v>
      </c>
      <c r="C35" s="4">
        <v>28137</v>
      </c>
      <c r="D35" s="4">
        <v>29787</v>
      </c>
      <c r="E35" s="4">
        <v>29977</v>
      </c>
      <c r="F35" s="4">
        <v>28508</v>
      </c>
      <c r="G35" s="4">
        <v>27872</v>
      </c>
      <c r="I35" s="3" t="s">
        <v>83</v>
      </c>
      <c r="J35" s="11">
        <v>0.58940000000000003</v>
      </c>
      <c r="K35" s="11">
        <v>0.58199999999999996</v>
      </c>
      <c r="L35" s="11">
        <v>0.56630000000000003</v>
      </c>
      <c r="M35" s="11">
        <v>0.55379999999999996</v>
      </c>
      <c r="N35" s="11">
        <v>0.56940000000000002</v>
      </c>
      <c r="O35" s="11">
        <v>0.53580000000000005</v>
      </c>
      <c r="Q35" s="3" t="s">
        <v>122</v>
      </c>
      <c r="R35" s="4">
        <v>27400</v>
      </c>
      <c r="S35" s="4">
        <v>27400</v>
      </c>
      <c r="T35" s="4">
        <v>19200</v>
      </c>
      <c r="U35" s="4">
        <v>18900</v>
      </c>
      <c r="V35" s="4">
        <v>13412</v>
      </c>
      <c r="W35" s="4">
        <v>4990</v>
      </c>
      <c r="Y35" s="3" t="s">
        <v>159</v>
      </c>
      <c r="Z35" s="11">
        <v>2.46E-2</v>
      </c>
      <c r="AA35" s="11">
        <v>2.5899999999999999E-2</v>
      </c>
      <c r="AB35" s="11">
        <v>3.32E-2</v>
      </c>
      <c r="AC35" s="11">
        <v>2.9100000000000001E-2</v>
      </c>
      <c r="AD35" s="11">
        <v>1.37E-2</v>
      </c>
      <c r="AE35" s="11">
        <v>1.6500000000000001E-2</v>
      </c>
    </row>
    <row r="36" spans="1:31" x14ac:dyDescent="0.25">
      <c r="A36" s="1" t="s">
        <v>41</v>
      </c>
      <c r="B36" s="5">
        <v>53480</v>
      </c>
      <c r="C36" s="5">
        <v>67520</v>
      </c>
      <c r="D36" s="5">
        <v>81129</v>
      </c>
      <c r="E36" s="5">
        <v>83785</v>
      </c>
      <c r="F36" s="5">
        <v>111141</v>
      </c>
      <c r="G36" s="5">
        <v>108822</v>
      </c>
      <c r="I36" s="3" t="s">
        <v>84</v>
      </c>
      <c r="J36" s="11">
        <v>0.33160000000000001</v>
      </c>
      <c r="K36" s="11">
        <v>0.32619999999999999</v>
      </c>
      <c r="L36" s="11">
        <v>0.2742</v>
      </c>
      <c r="M36" s="11">
        <v>0.2646</v>
      </c>
      <c r="N36" s="11">
        <v>0.30549999999999999</v>
      </c>
      <c r="O36" s="11">
        <v>0.22589999999999999</v>
      </c>
      <c r="Q36" s="3" t="s">
        <v>123</v>
      </c>
      <c r="R36" s="4">
        <v>49787</v>
      </c>
      <c r="S36" s="4">
        <v>56581</v>
      </c>
      <c r="T36" s="4">
        <v>56280</v>
      </c>
      <c r="U36" s="4">
        <v>49939</v>
      </c>
      <c r="V36" s="4">
        <v>47009</v>
      </c>
      <c r="W36" s="4">
        <v>35504</v>
      </c>
    </row>
    <row r="37" spans="1:31" x14ac:dyDescent="0.25">
      <c r="A37" s="3" t="s">
        <v>42</v>
      </c>
      <c r="B37" s="6">
        <v>-0.25729999999999997</v>
      </c>
      <c r="C37" s="6">
        <v>-0.1678</v>
      </c>
      <c r="D37" s="6">
        <v>-3.1699999999999999E-2</v>
      </c>
      <c r="E37" s="6">
        <v>-0.24610000000000001</v>
      </c>
      <c r="F37" s="7">
        <v>2.1299999999999999E-2</v>
      </c>
      <c r="G37" s="7">
        <v>5.0500000000000003E-2</v>
      </c>
      <c r="I37" s="3" t="s">
        <v>85</v>
      </c>
      <c r="J37" s="11">
        <v>0.31119999999999998</v>
      </c>
      <c r="K37" s="11">
        <v>0.28599999999999998</v>
      </c>
      <c r="L37" s="11">
        <v>0.24010000000000001</v>
      </c>
      <c r="M37" s="11">
        <v>0.21199999999999999</v>
      </c>
      <c r="N37" s="11">
        <v>0.29509999999999997</v>
      </c>
      <c r="O37" s="11">
        <v>0.22059999999999999</v>
      </c>
      <c r="Q37" s="3" t="s">
        <v>124</v>
      </c>
      <c r="R37" s="4">
        <v>50038</v>
      </c>
      <c r="S37" s="4">
        <v>56748</v>
      </c>
      <c r="T37" s="4">
        <v>56472</v>
      </c>
      <c r="U37" s="4">
        <v>50162</v>
      </c>
      <c r="V37" s="4">
        <v>47225</v>
      </c>
      <c r="W37" s="4">
        <v>35588</v>
      </c>
    </row>
    <row r="38" spans="1:31" x14ac:dyDescent="0.25">
      <c r="A38" s="3" t="s">
        <v>43</v>
      </c>
      <c r="B38" s="3">
        <v>4.34</v>
      </c>
      <c r="C38" s="3">
        <v>5.42</v>
      </c>
      <c r="D38" s="3">
        <v>6.38</v>
      </c>
      <c r="E38" s="3">
        <v>6.37</v>
      </c>
      <c r="F38" s="3">
        <v>8.1999999999999993</v>
      </c>
      <c r="G38" s="3">
        <v>7.92</v>
      </c>
      <c r="I38" s="3" t="s">
        <v>86</v>
      </c>
      <c r="J38" s="11">
        <v>0.1797</v>
      </c>
      <c r="K38" s="11">
        <v>0.2079</v>
      </c>
      <c r="L38" s="11">
        <v>0.2261</v>
      </c>
      <c r="M38" s="11">
        <v>0.2122</v>
      </c>
      <c r="N38" s="11">
        <v>0.2601</v>
      </c>
      <c r="O38" s="11">
        <v>0.23469999999999999</v>
      </c>
      <c r="Q38" s="3" t="s">
        <v>125</v>
      </c>
      <c r="R38" s="4">
        <v>-8545</v>
      </c>
      <c r="S38" s="4">
        <v>-8406</v>
      </c>
      <c r="T38" s="4">
        <v>-3845</v>
      </c>
      <c r="U38" s="4">
        <v>-2235</v>
      </c>
      <c r="V38" s="4">
        <v>-1523</v>
      </c>
      <c r="W38" s="4">
        <v>1827</v>
      </c>
    </row>
    <row r="39" spans="1:31" x14ac:dyDescent="0.25">
      <c r="A39" s="3" t="s">
        <v>44</v>
      </c>
      <c r="B39" s="4">
        <v>12094</v>
      </c>
      <c r="C39" s="4">
        <v>12190</v>
      </c>
      <c r="D39" s="4">
        <v>12433</v>
      </c>
      <c r="E39" s="4">
        <v>12807</v>
      </c>
      <c r="F39" s="4">
        <v>13219</v>
      </c>
      <c r="G39" s="4">
        <v>13483</v>
      </c>
      <c r="I39" s="1" t="s">
        <v>87</v>
      </c>
      <c r="J39" s="5">
        <v>140841</v>
      </c>
      <c r="K39" s="5">
        <v>129497</v>
      </c>
      <c r="L39" s="5">
        <v>96239</v>
      </c>
      <c r="M39" s="5">
        <v>88317</v>
      </c>
      <c r="N39" s="5">
        <v>88987</v>
      </c>
      <c r="O39" s="5">
        <v>54903</v>
      </c>
    </row>
    <row r="40" spans="1:31" x14ac:dyDescent="0.25">
      <c r="A40" s="3" t="s">
        <v>45</v>
      </c>
      <c r="B40" s="4">
        <v>12104</v>
      </c>
      <c r="C40" s="4">
        <v>12211</v>
      </c>
      <c r="D40" s="4">
        <v>12460</v>
      </c>
      <c r="E40" s="4">
        <v>12849</v>
      </c>
      <c r="F40" s="4">
        <v>13242</v>
      </c>
      <c r="G40" s="4">
        <v>13504</v>
      </c>
      <c r="I40" s="3" t="s">
        <v>88</v>
      </c>
      <c r="J40" s="11">
        <v>0.37919999999999998</v>
      </c>
      <c r="K40" s="11">
        <v>0.37</v>
      </c>
      <c r="L40" s="11">
        <v>0.31309999999999999</v>
      </c>
      <c r="M40" s="11">
        <v>0.31230000000000002</v>
      </c>
      <c r="N40" s="11">
        <v>0.34539999999999998</v>
      </c>
      <c r="O40" s="11">
        <v>0.30080000000000001</v>
      </c>
    </row>
    <row r="41" spans="1:31" x14ac:dyDescent="0.25">
      <c r="A41" s="3" t="s">
        <v>46</v>
      </c>
      <c r="B41" s="4">
        <v>78906</v>
      </c>
      <c r="C41" s="4">
        <v>74589</v>
      </c>
      <c r="D41" s="4">
        <v>89716</v>
      </c>
      <c r="E41" s="4">
        <v>95495</v>
      </c>
      <c r="F41" s="4">
        <v>123889</v>
      </c>
      <c r="G41" s="4">
        <v>117462</v>
      </c>
      <c r="I41" s="3" t="s">
        <v>89</v>
      </c>
      <c r="J41" s="4">
        <v>17675</v>
      </c>
      <c r="K41" s="4">
        <v>15311</v>
      </c>
      <c r="L41" s="4">
        <v>11946</v>
      </c>
      <c r="M41" s="4">
        <v>13475</v>
      </c>
      <c r="N41" s="4">
        <v>10273</v>
      </c>
      <c r="O41" s="4">
        <v>13679</v>
      </c>
    </row>
    <row r="42" spans="1:31" x14ac:dyDescent="0.25">
      <c r="A42" s="3" t="s">
        <v>47</v>
      </c>
      <c r="B42" s="3">
        <v>29.98</v>
      </c>
      <c r="C42" s="3">
        <v>26.62</v>
      </c>
      <c r="D42" s="3">
        <v>22.74</v>
      </c>
      <c r="E42" s="3">
        <v>19.93</v>
      </c>
      <c r="F42" s="3">
        <v>19</v>
      </c>
      <c r="G42" s="3">
        <v>16.48</v>
      </c>
      <c r="I42" s="1" t="s">
        <v>90</v>
      </c>
      <c r="J42" s="5">
        <v>123166</v>
      </c>
      <c r="K42" s="5">
        <v>114186</v>
      </c>
      <c r="L42" s="5">
        <v>84293</v>
      </c>
      <c r="M42" s="5">
        <v>74842</v>
      </c>
      <c r="N42" s="5">
        <v>78714</v>
      </c>
      <c r="O42" s="5">
        <v>41224</v>
      </c>
      <c r="R42" s="17"/>
    </row>
    <row r="43" spans="1:31" x14ac:dyDescent="0.25">
      <c r="A43" s="3" t="s">
        <v>48</v>
      </c>
      <c r="B43" s="4">
        <v>330581</v>
      </c>
      <c r="C43" s="4">
        <v>293199</v>
      </c>
      <c r="D43" s="4">
        <v>254181</v>
      </c>
      <c r="E43" s="4">
        <v>227184</v>
      </c>
      <c r="F43" s="4">
        <v>227262</v>
      </c>
      <c r="G43" s="4">
        <v>199924</v>
      </c>
      <c r="I43" s="3" t="s">
        <v>91</v>
      </c>
      <c r="J43" s="11">
        <v>0.33160000000000001</v>
      </c>
      <c r="K43" s="11">
        <v>0.32619999999999999</v>
      </c>
      <c r="L43" s="11">
        <v>0.2742</v>
      </c>
      <c r="M43" s="11">
        <v>0.2646</v>
      </c>
      <c r="N43" s="11">
        <v>0.30549999999999999</v>
      </c>
      <c r="O43" s="11">
        <v>0.22589999999999999</v>
      </c>
    </row>
    <row r="44" spans="1:31" x14ac:dyDescent="0.25">
      <c r="A44" s="3" t="s">
        <v>49</v>
      </c>
      <c r="B44" s="3">
        <v>27.31</v>
      </c>
      <c r="C44" s="3">
        <v>24.01</v>
      </c>
      <c r="D44" s="3">
        <v>20.399999999999999</v>
      </c>
      <c r="E44" s="3">
        <v>17.68</v>
      </c>
      <c r="F44" s="3">
        <v>17.16</v>
      </c>
      <c r="G44" s="3">
        <v>14.8</v>
      </c>
      <c r="I44" s="3" t="s">
        <v>92</v>
      </c>
      <c r="J44" s="11">
        <v>0.17249999999999999</v>
      </c>
      <c r="K44" s="11">
        <v>0.16439999999999999</v>
      </c>
      <c r="L44" s="11">
        <v>0.1391</v>
      </c>
      <c r="M44" s="11">
        <v>0.15920000000000001</v>
      </c>
      <c r="N44" s="11">
        <v>0.16200000000000001</v>
      </c>
      <c r="O44" s="11">
        <v>0.16250000000000001</v>
      </c>
    </row>
    <row r="45" spans="1:31" x14ac:dyDescent="0.25">
      <c r="A45" s="3"/>
      <c r="B45" s="3"/>
      <c r="C45" s="3"/>
      <c r="D45" s="3"/>
      <c r="E45" s="4"/>
      <c r="F45" s="4"/>
      <c r="G45" s="4"/>
      <c r="I45" s="3" t="s">
        <v>93</v>
      </c>
      <c r="J45" s="3" t="s">
        <v>13</v>
      </c>
      <c r="K45" s="4">
        <v>8700</v>
      </c>
      <c r="L45" s="4">
        <v>8700</v>
      </c>
      <c r="M45" s="4">
        <v>9200</v>
      </c>
      <c r="N45" s="4">
        <v>7900</v>
      </c>
      <c r="O45" s="4">
        <v>5400</v>
      </c>
    </row>
    <row r="46" spans="1:31" x14ac:dyDescent="0.25">
      <c r="A46" s="3"/>
      <c r="B46" s="3"/>
      <c r="C46" s="3"/>
      <c r="D46" s="3"/>
      <c r="E46" s="3"/>
      <c r="F46" s="3"/>
      <c r="G46" s="3"/>
    </row>
    <row r="47" spans="1:31" x14ac:dyDescent="0.25">
      <c r="A47" s="3"/>
      <c r="B47" s="3"/>
      <c r="C47" s="3"/>
      <c r="D47" s="3"/>
      <c r="E47" s="4"/>
      <c r="F47" s="4"/>
      <c r="G47" s="4"/>
      <c r="H47" s="1"/>
      <c r="I47" s="1"/>
      <c r="J47" s="1"/>
      <c r="K47" s="1"/>
      <c r="L47" s="1"/>
      <c r="M47" s="1"/>
      <c r="N47" s="1"/>
      <c r="O47" s="1"/>
      <c r="P47" s="1"/>
    </row>
    <row r="48" spans="1:31" x14ac:dyDescent="0.25">
      <c r="A48" s="3"/>
      <c r="B48" s="3"/>
      <c r="C48" s="3"/>
      <c r="D48" s="3"/>
      <c r="E48" s="4"/>
      <c r="F48" s="4"/>
      <c r="G48" s="4"/>
      <c r="H48" s="14"/>
      <c r="I48" s="3"/>
      <c r="J48" s="3"/>
      <c r="K48" s="3"/>
      <c r="L48" s="3"/>
      <c r="M48" s="3"/>
      <c r="N48" s="3"/>
      <c r="O48" s="3"/>
      <c r="P48" s="3"/>
    </row>
    <row r="49" spans="1:16" x14ac:dyDescent="0.25">
      <c r="A49" s="10" t="s">
        <v>318</v>
      </c>
      <c r="H49" s="14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10" t="s">
        <v>319</v>
      </c>
      <c r="B50" s="10">
        <v>2026</v>
      </c>
      <c r="C50" s="10">
        <v>2027</v>
      </c>
      <c r="D50" s="10">
        <v>2028</v>
      </c>
      <c r="E50" s="10">
        <v>2029</v>
      </c>
      <c r="F50" s="10">
        <v>2030</v>
      </c>
      <c r="G50" s="10">
        <v>2031</v>
      </c>
      <c r="H50" s="14"/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10" t="s">
        <v>320</v>
      </c>
      <c r="B51" s="16">
        <f>J4*1.14</f>
        <v>423394.86</v>
      </c>
      <c r="C51" s="16">
        <f>B51*1.12</f>
        <v>474202.24320000003</v>
      </c>
      <c r="D51" s="16">
        <f>C51*1.11</f>
        <v>526364.48995200009</v>
      </c>
      <c r="E51" s="16">
        <f>D51*1.1</f>
        <v>579000.93894720019</v>
      </c>
      <c r="F51" s="16">
        <f>E51*1.1</f>
        <v>636901.03284192027</v>
      </c>
      <c r="G51" s="16">
        <f>F51*1.09</f>
        <v>694222.12579769315</v>
      </c>
      <c r="H51" s="14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10" t="s">
        <v>321</v>
      </c>
      <c r="B52" s="15">
        <v>0.14000000000000001</v>
      </c>
      <c r="C52" s="15">
        <v>0.12</v>
      </c>
      <c r="D52" s="15">
        <v>0.11</v>
      </c>
      <c r="E52" s="15">
        <v>0.1</v>
      </c>
      <c r="F52" s="15">
        <v>0.1</v>
      </c>
      <c r="G52" s="15">
        <v>0.09</v>
      </c>
      <c r="H52" s="14"/>
      <c r="I52" s="3"/>
      <c r="J52" s="20"/>
      <c r="K52" s="3"/>
      <c r="L52" s="3"/>
      <c r="M52" s="3"/>
      <c r="N52" s="3"/>
      <c r="O52" s="3"/>
      <c r="P52" s="3"/>
    </row>
    <row r="53" spans="1:16" x14ac:dyDescent="0.25">
      <c r="H53" s="14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 s="10" t="s">
        <v>322</v>
      </c>
      <c r="B54" s="16">
        <f>B51*22%</f>
        <v>93146.869200000001</v>
      </c>
      <c r="C54" s="16">
        <f t="shared" ref="C54:G54" si="0">C51*22%</f>
        <v>104324.49350400001</v>
      </c>
      <c r="D54" s="16">
        <f t="shared" si="0"/>
        <v>115800.18778944002</v>
      </c>
      <c r="E54" s="16">
        <f t="shared" si="0"/>
        <v>127380.20656838405</v>
      </c>
      <c r="F54" s="16">
        <f t="shared" si="0"/>
        <v>140118.22722522245</v>
      </c>
      <c r="G54" s="16">
        <f t="shared" si="0"/>
        <v>152728.86767549248</v>
      </c>
      <c r="H54" s="14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 s="10" t="s">
        <v>324</v>
      </c>
      <c r="B55" s="16">
        <f>B51*25%</f>
        <v>105848.715</v>
      </c>
      <c r="C55" s="16">
        <f t="shared" ref="C55:G55" si="1">C51*25%</f>
        <v>118550.56080000001</v>
      </c>
      <c r="D55" s="16">
        <f t="shared" si="1"/>
        <v>131591.12248800002</v>
      </c>
      <c r="E55" s="16">
        <f t="shared" si="1"/>
        <v>144750.23473680005</v>
      </c>
      <c r="F55" s="16">
        <f t="shared" si="1"/>
        <v>159225.25821048007</v>
      </c>
      <c r="G55" s="16">
        <f t="shared" si="1"/>
        <v>173555.53144942329</v>
      </c>
      <c r="H55" s="14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10" t="s">
        <v>323</v>
      </c>
      <c r="B56" s="16">
        <f>B51*18%</f>
        <v>76211.074799999988</v>
      </c>
      <c r="C56" s="16">
        <f t="shared" ref="C56:G56" si="2">C51*18%</f>
        <v>85356.403776000006</v>
      </c>
      <c r="D56" s="16">
        <f t="shared" si="2"/>
        <v>94745.608191360006</v>
      </c>
      <c r="E56" s="16">
        <f t="shared" si="2"/>
        <v>104220.16901049603</v>
      </c>
      <c r="F56" s="16">
        <f t="shared" si="2"/>
        <v>114642.18591154565</v>
      </c>
      <c r="G56" s="16">
        <f t="shared" si="2"/>
        <v>124959.98264358476</v>
      </c>
      <c r="H56" s="14"/>
      <c r="I56" s="3"/>
      <c r="J56" s="3"/>
      <c r="K56" s="3"/>
      <c r="L56" s="3"/>
      <c r="M56" s="3"/>
      <c r="N56" s="3"/>
      <c r="O56" s="3"/>
      <c r="P56" s="3"/>
    </row>
    <row r="57" spans="1:16" x14ac:dyDescent="0.25">
      <c r="H57" s="14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10" t="s">
        <v>328</v>
      </c>
      <c r="B58" s="22"/>
      <c r="C58" s="17"/>
      <c r="D58" s="21"/>
      <c r="E58" s="18"/>
      <c r="F58" s="18"/>
      <c r="H58" s="19"/>
      <c r="I58" s="3"/>
      <c r="J58" s="3"/>
      <c r="K58" s="3"/>
      <c r="L58" s="3"/>
      <c r="M58" s="3"/>
      <c r="N58" s="3"/>
      <c r="O58" s="3"/>
      <c r="P58" s="3"/>
    </row>
    <row r="59" spans="1:16" x14ac:dyDescent="0.25">
      <c r="A59" s="10" t="s">
        <v>325</v>
      </c>
      <c r="B59" s="23">
        <f>B54/(1+H60)^1</f>
        <v>83276.346899353026</v>
      </c>
      <c r="C59" s="16">
        <f>C54/(1+H60)^2</f>
        <v>83385.990468153628</v>
      </c>
      <c r="D59" s="23">
        <f>D54/(1+H60)^3</f>
        <v>82750.280374823793</v>
      </c>
      <c r="E59" s="16">
        <f>E54/(1+H60)^4</f>
        <v>81379.602181667404</v>
      </c>
      <c r="F59" s="23">
        <f>F54/(1+H60)^5</f>
        <v>80031.627944324617</v>
      </c>
      <c r="G59" s="16">
        <f>G54/(1+H60)^6</f>
        <v>77990.472670192248</v>
      </c>
      <c r="H59" s="14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10" t="s">
        <v>326</v>
      </c>
      <c r="B60" s="16">
        <f>B55/(1+H60)^1</f>
        <v>94632.212385628445</v>
      </c>
      <c r="C60" s="16">
        <f>C55/(1+H60)^2</f>
        <v>94756.807350174568</v>
      </c>
      <c r="D60" s="16">
        <f>D55/(1+H60)^3</f>
        <v>94034.409516845219</v>
      </c>
      <c r="E60" s="16">
        <f>E55/(1+H60)^4</f>
        <v>92476.820660985686</v>
      </c>
      <c r="F60" s="16">
        <f>F55/(1+H60)^5</f>
        <v>90945.031754914336</v>
      </c>
      <c r="G60" s="16">
        <f>G55/(1+H60)^6</f>
        <v>88625.537125218456</v>
      </c>
      <c r="H60" s="21">
        <v>0.118527321</v>
      </c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10" t="s">
        <v>327</v>
      </c>
      <c r="B61" s="16">
        <f>B56/(1+H60)^1</f>
        <v>68135.192917652472</v>
      </c>
      <c r="C61" s="16">
        <f>C60/(1+H60)^2</f>
        <v>75738.591859939115</v>
      </c>
      <c r="D61" s="16">
        <f>D60/(1+H60)^3</f>
        <v>67196.555557827291</v>
      </c>
      <c r="E61" s="16">
        <f>E60/(1+H60)^4</f>
        <v>59080.818591515083</v>
      </c>
      <c r="F61" s="16">
        <f>F60/(1+H60)^5</f>
        <v>51945.268570197157</v>
      </c>
      <c r="G61" s="16">
        <f>G60/(1+H60)^6</f>
        <v>45256.326693467512</v>
      </c>
      <c r="H61" s="14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H62" s="14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10" t="s">
        <v>329</v>
      </c>
      <c r="B63" s="16">
        <f>(G54*(1+0.025))/(H60-0.025) / (1+H60)^6</f>
        <v>854726.01622949343</v>
      </c>
      <c r="H63" s="14"/>
      <c r="I63" s="3"/>
      <c r="J63" s="3"/>
      <c r="K63" s="3"/>
      <c r="L63" s="3"/>
      <c r="M63" s="3"/>
      <c r="N63" s="3"/>
      <c r="O63" s="3"/>
      <c r="P63" s="3"/>
    </row>
    <row r="64" spans="1:16" x14ac:dyDescent="0.25">
      <c r="A64" s="10" t="s">
        <v>330</v>
      </c>
      <c r="B64" s="16">
        <f>(G55*(1+0.025))/(H60-0.025)/ (1+H60)^6</f>
        <v>971279.56389715173</v>
      </c>
      <c r="H64" s="14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10" t="s">
        <v>331</v>
      </c>
      <c r="B65" s="16">
        <f>(G56*(1+0.025))/(H60-0.025)/(1+H60)^6</f>
        <v>699321.28600594914</v>
      </c>
      <c r="H65" s="14"/>
      <c r="I65" s="3"/>
      <c r="J65" s="3"/>
      <c r="K65" s="3"/>
      <c r="L65" s="3"/>
      <c r="M65" s="3"/>
      <c r="N65" s="3"/>
      <c r="O65" s="3"/>
      <c r="P65" s="3"/>
    </row>
    <row r="66" spans="1:16" x14ac:dyDescent="0.25">
      <c r="H66" s="14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10" t="s">
        <v>332</v>
      </c>
      <c r="B67" s="10" t="s">
        <v>335</v>
      </c>
    </row>
    <row r="68" spans="1:16" x14ac:dyDescent="0.25">
      <c r="A68" s="10" t="s">
        <v>333</v>
      </c>
    </row>
    <row r="69" spans="1:16" x14ac:dyDescent="0.25">
      <c r="A69" s="10" t="s">
        <v>334</v>
      </c>
    </row>
  </sheetData>
  <hyperlinks>
    <hyperlink ref="I4" r:id="rId1" display="https://stockanalysis.com/stocks/googl/revenue/" xr:uid="{28F9A04E-676D-B843-8F4E-1E0772C1D8A1}"/>
    <hyperlink ref="Y4" r:id="rId2" display="https://stockanalysis.com/stocks/googl/market-cap/" xr:uid="{59A70034-D9B7-9642-8B94-92458DB09BA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A12C1-F593-E54D-BEF5-C5B2CD9191BE}">
  <dimension ref="A1:Z127"/>
  <sheetViews>
    <sheetView tabSelected="1" topLeftCell="A82" workbookViewId="0"/>
  </sheetViews>
  <sheetFormatPr baseColWidth="10" defaultRowHeight="16" x14ac:dyDescent="0.2"/>
  <cols>
    <col min="1" max="1" width="38.33203125" style="24" customWidth="1"/>
    <col min="2" max="12" width="11.33203125" style="24" customWidth="1"/>
    <col min="13" max="26" width="10.83203125" style="24"/>
  </cols>
  <sheetData>
    <row r="1" spans="1:12" ht="19" x14ac:dyDescent="0.25">
      <c r="A1" s="25" t="s">
        <v>336</v>
      </c>
    </row>
    <row r="2" spans="1:12" x14ac:dyDescent="0.2">
      <c r="A2" s="26" t="s">
        <v>337</v>
      </c>
    </row>
    <row r="4" spans="1:12" x14ac:dyDescent="0.2">
      <c r="A4" s="24" t="s">
        <v>338</v>
      </c>
      <c r="B4" s="27">
        <v>2</v>
      </c>
      <c r="C4" s="28" t="str">
        <f>CHOOSE(B4,"Bear Case","Base Case","Bull Case")</f>
        <v>Base Case</v>
      </c>
    </row>
    <row r="6" spans="1:12" x14ac:dyDescent="0.2">
      <c r="A6" s="29" t="s">
        <v>339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2" x14ac:dyDescent="0.2">
      <c r="A7" s="30" t="s">
        <v>340</v>
      </c>
      <c r="B7" s="31">
        <v>353.78</v>
      </c>
      <c r="C7" s="32" t="s">
        <v>347</v>
      </c>
      <c r="D7" s="30"/>
      <c r="E7" s="30"/>
      <c r="F7" s="30"/>
      <c r="G7" s="30"/>
      <c r="H7" s="30"/>
      <c r="I7" s="30"/>
      <c r="J7" s="30"/>
      <c r="K7" s="30"/>
      <c r="L7" s="30"/>
    </row>
    <row r="8" spans="1:12" x14ac:dyDescent="0.2">
      <c r="A8" s="30" t="s">
        <v>341</v>
      </c>
      <c r="B8" s="33">
        <f>'Annual Financial'!J27</f>
        <v>12314</v>
      </c>
      <c r="C8" s="32" t="s">
        <v>348</v>
      </c>
      <c r="D8" s="30"/>
      <c r="E8" s="30"/>
      <c r="F8" s="30"/>
      <c r="G8" s="30"/>
      <c r="H8" s="30"/>
      <c r="I8" s="30"/>
      <c r="J8" s="30"/>
      <c r="K8" s="30"/>
      <c r="L8" s="30"/>
    </row>
    <row r="9" spans="1:12" x14ac:dyDescent="0.2">
      <c r="A9" s="30" t="s">
        <v>342</v>
      </c>
      <c r="B9" s="34">
        <f>B7*B8</f>
        <v>4356446.92</v>
      </c>
      <c r="C9" s="32"/>
      <c r="D9" s="30"/>
      <c r="E9" s="30"/>
      <c r="F9" s="30"/>
      <c r="G9" s="30"/>
      <c r="H9" s="30"/>
      <c r="I9" s="30"/>
      <c r="J9" s="30"/>
      <c r="K9" s="30"/>
      <c r="L9" s="30"/>
    </row>
    <row r="10" spans="1:12" x14ac:dyDescent="0.2">
      <c r="A10" s="30" t="s">
        <v>343</v>
      </c>
      <c r="B10" s="35">
        <f>'Annual Financial'!B35</f>
        <v>41668</v>
      </c>
      <c r="C10" s="32"/>
      <c r="D10" s="30"/>
      <c r="E10" s="30"/>
      <c r="F10" s="30"/>
      <c r="G10" s="30"/>
      <c r="H10" s="30"/>
      <c r="I10" s="30"/>
      <c r="J10" s="30"/>
      <c r="K10" s="30"/>
      <c r="L10" s="30"/>
    </row>
    <row r="11" spans="1:12" x14ac:dyDescent="0.2">
      <c r="A11" s="30" t="s">
        <v>344</v>
      </c>
      <c r="B11" s="35">
        <f>'Annual Financial'!B6</f>
        <v>95148</v>
      </c>
      <c r="C11" s="32"/>
      <c r="D11" s="30"/>
      <c r="E11" s="30"/>
      <c r="F11" s="30"/>
      <c r="G11" s="30"/>
      <c r="H11" s="30"/>
      <c r="I11" s="30"/>
      <c r="J11" s="30"/>
      <c r="K11" s="30"/>
      <c r="L11" s="30"/>
    </row>
    <row r="12" spans="1:12" x14ac:dyDescent="0.2">
      <c r="A12" s="30" t="s">
        <v>345</v>
      </c>
      <c r="B12" s="34">
        <f>B10-B11</f>
        <v>-53480</v>
      </c>
      <c r="C12" s="32" t="s">
        <v>349</v>
      </c>
      <c r="D12" s="30"/>
      <c r="E12" s="30"/>
      <c r="F12" s="30"/>
      <c r="G12" s="30"/>
      <c r="H12" s="30"/>
      <c r="I12" s="30"/>
      <c r="J12" s="30"/>
      <c r="K12" s="30"/>
      <c r="L12" s="30"/>
    </row>
    <row r="13" spans="1:12" x14ac:dyDescent="0.2">
      <c r="A13" s="36" t="s">
        <v>346</v>
      </c>
      <c r="B13" s="37">
        <f>B9+B12</f>
        <v>4302966.92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</row>
    <row r="15" spans="1:12" x14ac:dyDescent="0.2">
      <c r="A15" s="29" t="s">
        <v>350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x14ac:dyDescent="0.2">
      <c r="A16" s="42" t="s">
        <v>351</v>
      </c>
      <c r="B16" s="38"/>
      <c r="C16" s="38"/>
      <c r="D16" s="38"/>
      <c r="E16" s="38"/>
      <c r="F16" s="38"/>
      <c r="G16" s="38"/>
      <c r="H16" s="39" t="s">
        <v>352</v>
      </c>
      <c r="I16" s="39" t="s">
        <v>353</v>
      </c>
      <c r="J16" s="39" t="s">
        <v>354</v>
      </c>
      <c r="K16" s="39" t="s">
        <v>355</v>
      </c>
      <c r="L16" s="45" t="s">
        <v>356</v>
      </c>
    </row>
    <row r="17" spans="1:12" x14ac:dyDescent="0.2">
      <c r="A17" s="43" t="s">
        <v>357</v>
      </c>
      <c r="B17" s="30"/>
      <c r="C17" s="30"/>
      <c r="D17" s="30"/>
      <c r="E17" s="30"/>
      <c r="F17" s="30"/>
      <c r="G17" s="30"/>
      <c r="H17" s="40">
        <v>0.1</v>
      </c>
      <c r="I17" s="40">
        <v>0.08</v>
      </c>
      <c r="J17" s="40">
        <v>7.0000000000000007E-2</v>
      </c>
      <c r="K17" s="40">
        <v>0.06</v>
      </c>
      <c r="L17" s="46">
        <v>0.05</v>
      </c>
    </row>
    <row r="18" spans="1:12" x14ac:dyDescent="0.2">
      <c r="A18" s="43" t="s">
        <v>358</v>
      </c>
      <c r="B18" s="30"/>
      <c r="C18" s="30"/>
      <c r="D18" s="30"/>
      <c r="E18" s="30"/>
      <c r="F18" s="30"/>
      <c r="G18" s="30"/>
      <c r="H18" s="40">
        <v>0.31</v>
      </c>
      <c r="I18" s="40">
        <v>0.30499999999999999</v>
      </c>
      <c r="J18" s="40">
        <v>0.3</v>
      </c>
      <c r="K18" s="40">
        <v>0.3</v>
      </c>
      <c r="L18" s="46">
        <v>0.3</v>
      </c>
    </row>
    <row r="19" spans="1:12" x14ac:dyDescent="0.2">
      <c r="A19" s="43" t="s">
        <v>359</v>
      </c>
      <c r="B19" s="30"/>
      <c r="C19" s="30"/>
      <c r="D19" s="30"/>
      <c r="E19" s="30"/>
      <c r="F19" s="30"/>
      <c r="G19" s="30"/>
      <c r="H19" s="40">
        <v>0.21</v>
      </c>
      <c r="I19" s="40">
        <v>0.21</v>
      </c>
      <c r="J19" s="40">
        <v>0.21</v>
      </c>
      <c r="K19" s="40">
        <v>0.21</v>
      </c>
      <c r="L19" s="46">
        <v>0.21</v>
      </c>
    </row>
    <row r="20" spans="1:12" x14ac:dyDescent="0.2">
      <c r="A20" s="43" t="s">
        <v>360</v>
      </c>
      <c r="B20" s="30"/>
      <c r="C20" s="30"/>
      <c r="D20" s="30"/>
      <c r="E20" s="30"/>
      <c r="F20" s="30"/>
      <c r="G20" s="30"/>
      <c r="H20" s="40">
        <v>5.5E-2</v>
      </c>
      <c r="I20" s="40">
        <v>6.5000000000000002E-2</v>
      </c>
      <c r="J20" s="40">
        <v>7.4999999999999997E-2</v>
      </c>
      <c r="K20" s="40">
        <v>0.08</v>
      </c>
      <c r="L20" s="46">
        <v>8.5000000000000006E-2</v>
      </c>
    </row>
    <row r="21" spans="1:12" x14ac:dyDescent="0.2">
      <c r="A21" s="43" t="s">
        <v>361</v>
      </c>
      <c r="B21" s="30"/>
      <c r="C21" s="30"/>
      <c r="D21" s="30"/>
      <c r="E21" s="30"/>
      <c r="F21" s="30"/>
      <c r="G21" s="30"/>
      <c r="H21" s="40">
        <v>0.21</v>
      </c>
      <c r="I21" s="40">
        <v>0.2</v>
      </c>
      <c r="J21" s="40">
        <v>0.18</v>
      </c>
      <c r="K21" s="40">
        <v>0.16</v>
      </c>
      <c r="L21" s="46">
        <v>0.14000000000000001</v>
      </c>
    </row>
    <row r="22" spans="1:12" x14ac:dyDescent="0.2">
      <c r="A22" s="43" t="s">
        <v>362</v>
      </c>
      <c r="B22" s="30"/>
      <c r="C22" s="30"/>
      <c r="D22" s="30"/>
      <c r="E22" s="30"/>
      <c r="F22" s="30"/>
      <c r="G22" s="30"/>
      <c r="H22" s="40">
        <v>0.15</v>
      </c>
      <c r="I22" s="40">
        <v>0.15</v>
      </c>
      <c r="J22" s="40">
        <v>0.15</v>
      </c>
      <c r="K22" s="40">
        <v>0.15</v>
      </c>
      <c r="L22" s="46">
        <v>0.15</v>
      </c>
    </row>
    <row r="23" spans="1:12" x14ac:dyDescent="0.2">
      <c r="A23" s="43" t="s">
        <v>363</v>
      </c>
      <c r="B23" s="30"/>
      <c r="C23" s="30"/>
      <c r="D23" s="30"/>
      <c r="E23" s="30"/>
      <c r="F23" s="30"/>
      <c r="G23" s="30"/>
      <c r="H23" s="40">
        <v>0.02</v>
      </c>
      <c r="I23" s="30"/>
      <c r="J23" s="30"/>
      <c r="K23" s="30"/>
      <c r="L23" s="47"/>
    </row>
    <row r="24" spans="1:12" x14ac:dyDescent="0.2">
      <c r="A24" s="44" t="s">
        <v>364</v>
      </c>
      <c r="B24" s="36"/>
      <c r="C24" s="36"/>
      <c r="D24" s="36"/>
      <c r="E24" s="36"/>
      <c r="F24" s="36"/>
      <c r="G24" s="36"/>
      <c r="H24" s="41">
        <v>0.01</v>
      </c>
      <c r="I24" s="36"/>
      <c r="J24" s="36"/>
      <c r="K24" s="36"/>
      <c r="L24" s="48"/>
    </row>
    <row r="26" spans="1:12" x14ac:dyDescent="0.2">
      <c r="A26" s="29" t="s">
        <v>365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</row>
    <row r="27" spans="1:12" x14ac:dyDescent="0.2">
      <c r="A27" s="42" t="s">
        <v>351</v>
      </c>
      <c r="B27" s="38"/>
      <c r="C27" s="38"/>
      <c r="D27" s="38"/>
      <c r="E27" s="38"/>
      <c r="F27" s="38"/>
      <c r="G27" s="38"/>
      <c r="H27" s="39" t="s">
        <v>352</v>
      </c>
      <c r="I27" s="39" t="s">
        <v>353</v>
      </c>
      <c r="J27" s="39" t="s">
        <v>354</v>
      </c>
      <c r="K27" s="39" t="s">
        <v>355</v>
      </c>
      <c r="L27" s="45" t="s">
        <v>356</v>
      </c>
    </row>
    <row r="28" spans="1:12" x14ac:dyDescent="0.2">
      <c r="A28" s="43" t="s">
        <v>357</v>
      </c>
      <c r="B28" s="32" t="s">
        <v>368</v>
      </c>
      <c r="C28" s="30"/>
      <c r="D28" s="30"/>
      <c r="E28" s="30"/>
      <c r="F28" s="30"/>
      <c r="G28" s="30"/>
      <c r="H28" s="40">
        <v>0.14000000000000001</v>
      </c>
      <c r="I28" s="40">
        <v>0.12</v>
      </c>
      <c r="J28" s="40">
        <v>0.11</v>
      </c>
      <c r="K28" s="40">
        <v>0.1</v>
      </c>
      <c r="L28" s="46">
        <v>0.1</v>
      </c>
    </row>
    <row r="29" spans="1:12" x14ac:dyDescent="0.2">
      <c r="A29" s="43" t="s">
        <v>358</v>
      </c>
      <c r="B29" s="32" t="s">
        <v>369</v>
      </c>
      <c r="C29" s="30"/>
      <c r="D29" s="30"/>
      <c r="E29" s="30"/>
      <c r="F29" s="30"/>
      <c r="G29" s="30"/>
      <c r="H29" s="40">
        <v>0.33</v>
      </c>
      <c r="I29" s="40">
        <v>0.34</v>
      </c>
      <c r="J29" s="40">
        <v>0.34499999999999997</v>
      </c>
      <c r="K29" s="40">
        <v>0.35</v>
      </c>
      <c r="L29" s="46">
        <v>0.35</v>
      </c>
    </row>
    <row r="30" spans="1:12" x14ac:dyDescent="0.2">
      <c r="A30" s="43" t="s">
        <v>359</v>
      </c>
      <c r="B30" s="32" t="s">
        <v>370</v>
      </c>
      <c r="C30" s="30"/>
      <c r="D30" s="30"/>
      <c r="E30" s="30"/>
      <c r="F30" s="30"/>
      <c r="G30" s="30"/>
      <c r="H30" s="40">
        <v>0.18</v>
      </c>
      <c r="I30" s="40">
        <v>0.18</v>
      </c>
      <c r="J30" s="40">
        <v>0.18</v>
      </c>
      <c r="K30" s="40">
        <v>0.18</v>
      </c>
      <c r="L30" s="46">
        <v>0.18</v>
      </c>
    </row>
    <row r="31" spans="1:12" x14ac:dyDescent="0.2">
      <c r="A31" s="43" t="s">
        <v>360</v>
      </c>
      <c r="B31" s="32" t="s">
        <v>371</v>
      </c>
      <c r="C31" s="30"/>
      <c r="D31" s="30"/>
      <c r="E31" s="30"/>
      <c r="F31" s="30"/>
      <c r="G31" s="30"/>
      <c r="H31" s="40">
        <v>5.5E-2</v>
      </c>
      <c r="I31" s="40">
        <v>6.5000000000000002E-2</v>
      </c>
      <c r="J31" s="40">
        <v>7.4999999999999997E-2</v>
      </c>
      <c r="K31" s="40">
        <v>0.08</v>
      </c>
      <c r="L31" s="46">
        <v>8.5000000000000006E-2</v>
      </c>
    </row>
    <row r="32" spans="1:12" x14ac:dyDescent="0.2">
      <c r="A32" s="43" t="s">
        <v>361</v>
      </c>
      <c r="B32" s="32" t="s">
        <v>372</v>
      </c>
      <c r="C32" s="30"/>
      <c r="D32" s="30"/>
      <c r="E32" s="30"/>
      <c r="F32" s="30"/>
      <c r="G32" s="30"/>
      <c r="H32" s="40">
        <v>0.2</v>
      </c>
      <c r="I32" s="40">
        <v>0.18</v>
      </c>
      <c r="J32" s="40">
        <v>0.16</v>
      </c>
      <c r="K32" s="40">
        <v>0.14000000000000001</v>
      </c>
      <c r="L32" s="46">
        <v>0.12</v>
      </c>
    </row>
    <row r="33" spans="1:12" x14ac:dyDescent="0.2">
      <c r="A33" s="43" t="s">
        <v>362</v>
      </c>
      <c r="B33" s="32" t="s">
        <v>373</v>
      </c>
      <c r="C33" s="30"/>
      <c r="D33" s="30"/>
      <c r="E33" s="30"/>
      <c r="F33" s="30"/>
      <c r="G33" s="30"/>
      <c r="H33" s="40">
        <v>0.1</v>
      </c>
      <c r="I33" s="40">
        <v>0.1</v>
      </c>
      <c r="J33" s="40">
        <v>0.1</v>
      </c>
      <c r="K33" s="40">
        <v>0.1</v>
      </c>
      <c r="L33" s="46">
        <v>0.1</v>
      </c>
    </row>
    <row r="34" spans="1:12" x14ac:dyDescent="0.2">
      <c r="A34" s="43" t="s">
        <v>363</v>
      </c>
      <c r="B34" s="32" t="s">
        <v>374</v>
      </c>
      <c r="C34" s="30"/>
      <c r="D34" s="30"/>
      <c r="E34" s="30"/>
      <c r="F34" s="30"/>
      <c r="G34" s="30"/>
      <c r="H34" s="40">
        <v>2.5000000000000001E-2</v>
      </c>
      <c r="I34" s="30"/>
      <c r="J34" s="30"/>
      <c r="K34" s="30"/>
      <c r="L34" s="47"/>
    </row>
    <row r="35" spans="1:12" x14ac:dyDescent="0.2">
      <c r="A35" s="44" t="s">
        <v>364</v>
      </c>
      <c r="B35" s="62" t="s">
        <v>375</v>
      </c>
      <c r="C35" s="36"/>
      <c r="D35" s="36"/>
      <c r="E35" s="36"/>
      <c r="F35" s="36"/>
      <c r="G35" s="36"/>
      <c r="H35" s="41">
        <v>0</v>
      </c>
      <c r="I35" s="36"/>
      <c r="J35" s="36"/>
      <c r="K35" s="36"/>
      <c r="L35" s="48"/>
    </row>
    <row r="37" spans="1:12" x14ac:dyDescent="0.2">
      <c r="A37" s="29" t="s">
        <v>366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spans="1:12" x14ac:dyDescent="0.2">
      <c r="A38" s="42" t="s">
        <v>351</v>
      </c>
      <c r="B38" s="38"/>
      <c r="C38" s="38"/>
      <c r="D38" s="38"/>
      <c r="E38" s="38"/>
      <c r="F38" s="38"/>
      <c r="G38" s="38"/>
      <c r="H38" s="39" t="s">
        <v>352</v>
      </c>
      <c r="I38" s="39" t="s">
        <v>353</v>
      </c>
      <c r="J38" s="39" t="s">
        <v>354</v>
      </c>
      <c r="K38" s="39" t="s">
        <v>355</v>
      </c>
      <c r="L38" s="45" t="s">
        <v>356</v>
      </c>
    </row>
    <row r="39" spans="1:12" x14ac:dyDescent="0.2">
      <c r="A39" s="43" t="s">
        <v>357</v>
      </c>
      <c r="B39" s="30"/>
      <c r="C39" s="30"/>
      <c r="D39" s="30"/>
      <c r="E39" s="30"/>
      <c r="F39" s="30"/>
      <c r="G39" s="30"/>
      <c r="H39" s="40">
        <v>0.17</v>
      </c>
      <c r="I39" s="40">
        <v>0.15</v>
      </c>
      <c r="J39" s="40">
        <v>0.13</v>
      </c>
      <c r="K39" s="40">
        <v>0.12</v>
      </c>
      <c r="L39" s="46">
        <v>0.11</v>
      </c>
    </row>
    <row r="40" spans="1:12" x14ac:dyDescent="0.2">
      <c r="A40" s="43" t="s">
        <v>358</v>
      </c>
      <c r="B40" s="30"/>
      <c r="C40" s="30"/>
      <c r="D40" s="30"/>
      <c r="E40" s="30"/>
      <c r="F40" s="30"/>
      <c r="G40" s="30"/>
      <c r="H40" s="40">
        <v>0.35</v>
      </c>
      <c r="I40" s="40">
        <v>0.36</v>
      </c>
      <c r="J40" s="40">
        <v>0.37</v>
      </c>
      <c r="K40" s="40">
        <v>0.375</v>
      </c>
      <c r="L40" s="46">
        <v>0.38</v>
      </c>
    </row>
    <row r="41" spans="1:12" x14ac:dyDescent="0.2">
      <c r="A41" s="43" t="s">
        <v>359</v>
      </c>
      <c r="B41" s="30"/>
      <c r="C41" s="30"/>
      <c r="D41" s="30"/>
      <c r="E41" s="30"/>
      <c r="F41" s="30"/>
      <c r="G41" s="30"/>
      <c r="H41" s="40">
        <v>0.16500000000000001</v>
      </c>
      <c r="I41" s="40">
        <v>0.16500000000000001</v>
      </c>
      <c r="J41" s="40">
        <v>0.16500000000000001</v>
      </c>
      <c r="K41" s="40">
        <v>0.16500000000000001</v>
      </c>
      <c r="L41" s="46">
        <v>0.16500000000000001</v>
      </c>
    </row>
    <row r="42" spans="1:12" x14ac:dyDescent="0.2">
      <c r="A42" s="43" t="s">
        <v>360</v>
      </c>
      <c r="B42" s="30"/>
      <c r="C42" s="30"/>
      <c r="D42" s="30"/>
      <c r="E42" s="30"/>
      <c r="F42" s="30"/>
      <c r="G42" s="30"/>
      <c r="H42" s="40">
        <v>5.5E-2</v>
      </c>
      <c r="I42" s="40">
        <v>6.5000000000000002E-2</v>
      </c>
      <c r="J42" s="40">
        <v>7.4999999999999997E-2</v>
      </c>
      <c r="K42" s="40">
        <v>0.08</v>
      </c>
      <c r="L42" s="46">
        <v>8.5000000000000006E-2</v>
      </c>
    </row>
    <row r="43" spans="1:12" x14ac:dyDescent="0.2">
      <c r="A43" s="43" t="s">
        <v>361</v>
      </c>
      <c r="B43" s="30"/>
      <c r="C43" s="30"/>
      <c r="D43" s="30"/>
      <c r="E43" s="30"/>
      <c r="F43" s="30"/>
      <c r="G43" s="30"/>
      <c r="H43" s="40">
        <v>0.19</v>
      </c>
      <c r="I43" s="40">
        <v>0.16</v>
      </c>
      <c r="J43" s="40">
        <v>0.14000000000000001</v>
      </c>
      <c r="K43" s="40">
        <v>0.12</v>
      </c>
      <c r="L43" s="46">
        <v>0.1</v>
      </c>
    </row>
    <row r="44" spans="1:12" x14ac:dyDescent="0.2">
      <c r="A44" s="43" t="s">
        <v>362</v>
      </c>
      <c r="B44" s="30"/>
      <c r="C44" s="30"/>
      <c r="D44" s="30"/>
      <c r="E44" s="30"/>
      <c r="F44" s="30"/>
      <c r="G44" s="30"/>
      <c r="H44" s="40">
        <v>0.05</v>
      </c>
      <c r="I44" s="40">
        <v>0.05</v>
      </c>
      <c r="J44" s="40">
        <v>0.05</v>
      </c>
      <c r="K44" s="40">
        <v>0.05</v>
      </c>
      <c r="L44" s="46">
        <v>0.05</v>
      </c>
    </row>
    <row r="45" spans="1:12" x14ac:dyDescent="0.2">
      <c r="A45" s="43" t="s">
        <v>363</v>
      </c>
      <c r="B45" s="30"/>
      <c r="C45" s="30"/>
      <c r="D45" s="30"/>
      <c r="E45" s="30"/>
      <c r="F45" s="30"/>
      <c r="G45" s="30"/>
      <c r="H45" s="40">
        <v>0.03</v>
      </c>
      <c r="I45" s="30"/>
      <c r="J45" s="30"/>
      <c r="K45" s="30"/>
      <c r="L45" s="47"/>
    </row>
    <row r="46" spans="1:12" x14ac:dyDescent="0.2">
      <c r="A46" s="44" t="s">
        <v>364</v>
      </c>
      <c r="B46" s="36"/>
      <c r="C46" s="36"/>
      <c r="D46" s="36"/>
      <c r="E46" s="36"/>
      <c r="F46" s="36"/>
      <c r="G46" s="36"/>
      <c r="H46" s="41">
        <v>-0.01</v>
      </c>
      <c r="I46" s="36"/>
      <c r="J46" s="36"/>
      <c r="K46" s="36"/>
      <c r="L46" s="48"/>
    </row>
    <row r="48" spans="1:12" ht="17" thickBot="1" x14ac:dyDescent="0.25">
      <c r="A48" s="29" t="s">
        <v>367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</row>
    <row r="49" spans="1:12" x14ac:dyDescent="0.2">
      <c r="A49" s="54" t="s">
        <v>351</v>
      </c>
      <c r="B49" s="50"/>
      <c r="C49" s="50"/>
      <c r="D49" s="50"/>
      <c r="E49" s="50"/>
      <c r="F49" s="50"/>
      <c r="G49" s="50"/>
      <c r="H49" s="51" t="s">
        <v>352</v>
      </c>
      <c r="I49" s="51" t="s">
        <v>353</v>
      </c>
      <c r="J49" s="51" t="s">
        <v>354</v>
      </c>
      <c r="K49" s="51" t="s">
        <v>355</v>
      </c>
      <c r="L49" s="58" t="s">
        <v>356</v>
      </c>
    </row>
    <row r="50" spans="1:12" x14ac:dyDescent="0.2">
      <c r="A50" s="55" t="s">
        <v>357</v>
      </c>
      <c r="B50" s="30"/>
      <c r="C50" s="30"/>
      <c r="D50" s="30"/>
      <c r="E50" s="30"/>
      <c r="F50" s="30"/>
      <c r="G50" s="30"/>
      <c r="H50" s="49">
        <f>CHOOSE($B$4,H17,H28,H39)</f>
        <v>0.14000000000000001</v>
      </c>
      <c r="I50" s="49">
        <f>CHOOSE($B$4,I17,I28,I39)</f>
        <v>0.12</v>
      </c>
      <c r="J50" s="49">
        <f>CHOOSE($B$4,J17,J28,J39)</f>
        <v>0.11</v>
      </c>
      <c r="K50" s="49">
        <f>CHOOSE($B$4,K17,K28,K39)</f>
        <v>0.1</v>
      </c>
      <c r="L50" s="59">
        <f>CHOOSE($B$4,L17,L28,L39)</f>
        <v>0.1</v>
      </c>
    </row>
    <row r="51" spans="1:12" x14ac:dyDescent="0.2">
      <c r="A51" s="55" t="s">
        <v>358</v>
      </c>
      <c r="B51" s="30"/>
      <c r="C51" s="30"/>
      <c r="D51" s="30"/>
      <c r="E51" s="30"/>
      <c r="F51" s="30"/>
      <c r="G51" s="30"/>
      <c r="H51" s="49">
        <f>CHOOSE($B$4,H18,H29,H40)</f>
        <v>0.33</v>
      </c>
      <c r="I51" s="49">
        <f>CHOOSE($B$4,I18,I29,I40)</f>
        <v>0.34</v>
      </c>
      <c r="J51" s="49">
        <f>CHOOSE($B$4,J18,J29,J40)</f>
        <v>0.34499999999999997</v>
      </c>
      <c r="K51" s="49">
        <f>CHOOSE($B$4,K18,K29,K40)</f>
        <v>0.35</v>
      </c>
      <c r="L51" s="59">
        <f>CHOOSE($B$4,L18,L29,L40)</f>
        <v>0.35</v>
      </c>
    </row>
    <row r="52" spans="1:12" x14ac:dyDescent="0.2">
      <c r="A52" s="55" t="s">
        <v>359</v>
      </c>
      <c r="B52" s="30"/>
      <c r="C52" s="30"/>
      <c r="D52" s="30"/>
      <c r="E52" s="30"/>
      <c r="F52" s="30"/>
      <c r="G52" s="30"/>
      <c r="H52" s="49">
        <f>CHOOSE($B$4,H19,H30,H41)</f>
        <v>0.18</v>
      </c>
      <c r="I52" s="49">
        <f>CHOOSE($B$4,I19,I30,I41)</f>
        <v>0.18</v>
      </c>
      <c r="J52" s="49">
        <f>CHOOSE($B$4,J19,J30,J41)</f>
        <v>0.18</v>
      </c>
      <c r="K52" s="49">
        <f>CHOOSE($B$4,K19,K30,K41)</f>
        <v>0.18</v>
      </c>
      <c r="L52" s="59">
        <f>CHOOSE($B$4,L19,L30,L41)</f>
        <v>0.18</v>
      </c>
    </row>
    <row r="53" spans="1:12" x14ac:dyDescent="0.2">
      <c r="A53" s="55" t="s">
        <v>360</v>
      </c>
      <c r="B53" s="30"/>
      <c r="C53" s="30"/>
      <c r="D53" s="30"/>
      <c r="E53" s="30"/>
      <c r="F53" s="30"/>
      <c r="G53" s="30"/>
      <c r="H53" s="49">
        <f>CHOOSE($B$4,H20,H31,H42)</f>
        <v>5.5E-2</v>
      </c>
      <c r="I53" s="49">
        <f>CHOOSE($B$4,I20,I31,I42)</f>
        <v>6.5000000000000002E-2</v>
      </c>
      <c r="J53" s="49">
        <f>CHOOSE($B$4,J20,J31,J42)</f>
        <v>7.4999999999999997E-2</v>
      </c>
      <c r="K53" s="49">
        <f>CHOOSE($B$4,K20,K31,K42)</f>
        <v>0.08</v>
      </c>
      <c r="L53" s="59">
        <f>CHOOSE($B$4,L20,L31,L42)</f>
        <v>8.5000000000000006E-2</v>
      </c>
    </row>
    <row r="54" spans="1:12" x14ac:dyDescent="0.2">
      <c r="A54" s="55" t="s">
        <v>361</v>
      </c>
      <c r="B54" s="30"/>
      <c r="C54" s="30"/>
      <c r="D54" s="30"/>
      <c r="E54" s="30"/>
      <c r="F54" s="30"/>
      <c r="G54" s="30"/>
      <c r="H54" s="49">
        <f>CHOOSE($B$4,H21,H32,H43)</f>
        <v>0.2</v>
      </c>
      <c r="I54" s="49">
        <f>CHOOSE($B$4,I21,I32,I43)</f>
        <v>0.18</v>
      </c>
      <c r="J54" s="49">
        <f>CHOOSE($B$4,J21,J32,J43)</f>
        <v>0.16</v>
      </c>
      <c r="K54" s="49">
        <f>CHOOSE($B$4,K21,K32,K43)</f>
        <v>0.14000000000000001</v>
      </c>
      <c r="L54" s="59">
        <f>CHOOSE($B$4,L21,L32,L43)</f>
        <v>0.12</v>
      </c>
    </row>
    <row r="55" spans="1:12" x14ac:dyDescent="0.2">
      <c r="A55" s="55" t="s">
        <v>362</v>
      </c>
      <c r="B55" s="30"/>
      <c r="C55" s="30"/>
      <c r="D55" s="30"/>
      <c r="E55" s="30"/>
      <c r="F55" s="30"/>
      <c r="G55" s="30"/>
      <c r="H55" s="49">
        <f>CHOOSE($B$4,H22,H33,H44)</f>
        <v>0.1</v>
      </c>
      <c r="I55" s="49">
        <f>CHOOSE($B$4,I22,I33,I44)</f>
        <v>0.1</v>
      </c>
      <c r="J55" s="49">
        <f>CHOOSE($B$4,J22,J33,J44)</f>
        <v>0.1</v>
      </c>
      <c r="K55" s="49">
        <f>CHOOSE($B$4,K22,K33,K44)</f>
        <v>0.1</v>
      </c>
      <c r="L55" s="59">
        <f>CHOOSE($B$4,L22,L33,L44)</f>
        <v>0.1</v>
      </c>
    </row>
    <row r="56" spans="1:12" x14ac:dyDescent="0.2">
      <c r="A56" s="55" t="s">
        <v>363</v>
      </c>
      <c r="B56" s="30"/>
      <c r="C56" s="30"/>
      <c r="D56" s="30"/>
      <c r="E56" s="30"/>
      <c r="F56" s="30"/>
      <c r="G56" s="30"/>
      <c r="H56" s="49">
        <f>CHOOSE($B$4,H23,H34,H45)</f>
        <v>2.5000000000000001E-2</v>
      </c>
      <c r="I56" s="30"/>
      <c r="J56" s="30"/>
      <c r="K56" s="30"/>
      <c r="L56" s="60"/>
    </row>
    <row r="57" spans="1:12" ht="17" thickBot="1" x14ac:dyDescent="0.25">
      <c r="A57" s="56" t="s">
        <v>364</v>
      </c>
      <c r="B57" s="52"/>
      <c r="C57" s="52"/>
      <c r="D57" s="52"/>
      <c r="E57" s="52"/>
      <c r="F57" s="52"/>
      <c r="G57" s="52"/>
      <c r="H57" s="53">
        <f>CHOOSE($B$4,H24,H35,H46)</f>
        <v>0</v>
      </c>
      <c r="I57" s="52"/>
      <c r="J57" s="52"/>
      <c r="K57" s="52"/>
      <c r="L57" s="61"/>
    </row>
    <row r="59" spans="1:12" ht="17" thickBot="1" x14ac:dyDescent="0.25">
      <c r="A59" s="29" t="s">
        <v>376</v>
      </c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</row>
    <row r="60" spans="1:12" x14ac:dyDescent="0.2">
      <c r="A60" s="54" t="s">
        <v>377</v>
      </c>
      <c r="B60" s="51" t="s">
        <v>378</v>
      </c>
      <c r="C60" s="51" t="s">
        <v>379</v>
      </c>
      <c r="D60" s="51" t="s">
        <v>380</v>
      </c>
      <c r="E60" s="51" t="s">
        <v>381</v>
      </c>
      <c r="F60" s="51" t="s">
        <v>382</v>
      </c>
      <c r="G60" s="57" t="s">
        <v>383</v>
      </c>
      <c r="H60" s="51" t="s">
        <v>352</v>
      </c>
      <c r="I60" s="51" t="s">
        <v>353</v>
      </c>
      <c r="J60" s="51" t="s">
        <v>354</v>
      </c>
      <c r="K60" s="51" t="s">
        <v>355</v>
      </c>
      <c r="L60" s="58" t="s">
        <v>356</v>
      </c>
    </row>
    <row r="61" spans="1:12" x14ac:dyDescent="0.2">
      <c r="A61" s="55" t="s">
        <v>52</v>
      </c>
      <c r="B61" s="35">
        <f>'Annual Financial'!O4</f>
        <v>182527</v>
      </c>
      <c r="C61" s="35">
        <f>'Annual Financial'!N4</f>
        <v>257637</v>
      </c>
      <c r="D61" s="35">
        <f>'Annual Financial'!M4</f>
        <v>282836</v>
      </c>
      <c r="E61" s="35">
        <f>'Annual Financial'!L4</f>
        <v>307394</v>
      </c>
      <c r="F61" s="35">
        <f>'Annual Financial'!K4</f>
        <v>350018</v>
      </c>
      <c r="G61" s="65">
        <f>'Annual Financial'!J4</f>
        <v>371399</v>
      </c>
      <c r="H61" s="77">
        <f>G61*(1+H50)</f>
        <v>423394.86000000004</v>
      </c>
      <c r="I61" s="77">
        <f t="shared" ref="I61:L61" si="0">H61*(1+I50)</f>
        <v>474202.24320000008</v>
      </c>
      <c r="J61" s="77">
        <f t="shared" si="0"/>
        <v>526364.48995200009</v>
      </c>
      <c r="K61" s="77">
        <f t="shared" si="0"/>
        <v>579000.93894720019</v>
      </c>
      <c r="L61" s="77">
        <f t="shared" si="0"/>
        <v>636901.03284192027</v>
      </c>
    </row>
    <row r="62" spans="1:12" x14ac:dyDescent="0.2">
      <c r="A62" s="55" t="s">
        <v>384</v>
      </c>
      <c r="B62" s="71">
        <f>'Annual Financial'!O5</f>
        <v>0.12770000000000001</v>
      </c>
      <c r="C62" s="71">
        <f>'Annual Financial'!N5</f>
        <v>0.41149999999999998</v>
      </c>
      <c r="D62" s="71">
        <f>'Annual Financial'!M5</f>
        <v>9.7799999999999998E-2</v>
      </c>
      <c r="E62" s="71">
        <f>'Annual Financial'!L5</f>
        <v>8.6800000000000002E-2</v>
      </c>
      <c r="F62" s="71">
        <f>'Annual Financial'!K5</f>
        <v>0.13869999999999999</v>
      </c>
      <c r="G62" s="66">
        <f>'Annual Financial'!J5</f>
        <v>0.1313</v>
      </c>
      <c r="H62" s="78">
        <f>H61/G61-1</f>
        <v>0.14000000000000012</v>
      </c>
      <c r="I62" s="78">
        <f t="shared" ref="I62:L62" si="1">I61/H61-1</f>
        <v>0.12000000000000011</v>
      </c>
      <c r="J62" s="78">
        <f t="shared" si="1"/>
        <v>0.1100000000000001</v>
      </c>
      <c r="K62" s="78">
        <f t="shared" si="1"/>
        <v>0.10000000000000009</v>
      </c>
      <c r="L62" s="78">
        <f t="shared" si="1"/>
        <v>0.10000000000000009</v>
      </c>
    </row>
    <row r="63" spans="1:12" x14ac:dyDescent="0.2">
      <c r="A63" s="55" t="s">
        <v>90</v>
      </c>
      <c r="B63" s="35">
        <f>'Annual Financial'!O42</f>
        <v>41224</v>
      </c>
      <c r="C63" s="35">
        <f>'Annual Financial'!N42</f>
        <v>78714</v>
      </c>
      <c r="D63" s="35">
        <f>'Annual Financial'!M42</f>
        <v>74842</v>
      </c>
      <c r="E63" s="35">
        <f>'Annual Financial'!L42</f>
        <v>84293</v>
      </c>
      <c r="F63" s="35">
        <f>'Annual Financial'!K42</f>
        <v>114186</v>
      </c>
      <c r="G63" s="65">
        <f>'Annual Financial'!J42</f>
        <v>123166</v>
      </c>
      <c r="H63" s="77">
        <f>H61*H51</f>
        <v>139720.30380000002</v>
      </c>
      <c r="I63" s="77">
        <f t="shared" ref="I63:L63" si="2">I61*I51</f>
        <v>161228.76268800005</v>
      </c>
      <c r="J63" s="77">
        <f t="shared" si="2"/>
        <v>181595.74903344002</v>
      </c>
      <c r="K63" s="77">
        <f t="shared" si="2"/>
        <v>202650.32863152007</v>
      </c>
      <c r="L63" s="77">
        <f t="shared" si="2"/>
        <v>222915.36149467208</v>
      </c>
    </row>
    <row r="64" spans="1:12" x14ac:dyDescent="0.2">
      <c r="A64" s="55" t="s">
        <v>385</v>
      </c>
      <c r="B64" s="72">
        <f>B63/B61</f>
        <v>0.22585151785763202</v>
      </c>
      <c r="C64" s="72">
        <f>C63/C61</f>
        <v>0.3055228868524319</v>
      </c>
      <c r="D64" s="72">
        <f>D63/D61</f>
        <v>0.26461270842467011</v>
      </c>
      <c r="E64" s="72">
        <f>E63/E61</f>
        <v>0.27421810445226646</v>
      </c>
      <c r="F64" s="72">
        <f>F63/F61</f>
        <v>0.32622893679753612</v>
      </c>
      <c r="G64" s="67">
        <f>G63/G61</f>
        <v>0.33162717185560542</v>
      </c>
      <c r="H64" s="78">
        <f>H63/H61</f>
        <v>0.33</v>
      </c>
      <c r="I64" s="78">
        <f t="shared" ref="I64:L64" si="3">I63/I61</f>
        <v>0.34</v>
      </c>
      <c r="J64" s="78">
        <f t="shared" si="3"/>
        <v>0.34499999999999997</v>
      </c>
      <c r="K64" s="78">
        <f t="shared" si="3"/>
        <v>0.35</v>
      </c>
      <c r="L64" s="78">
        <f t="shared" si="3"/>
        <v>0.35</v>
      </c>
    </row>
    <row r="65" spans="1:12" x14ac:dyDescent="0.2">
      <c r="A65" s="55" t="s">
        <v>386</v>
      </c>
      <c r="B65" s="34">
        <f>-B63*B66</f>
        <v>-6698.9000000000005</v>
      </c>
      <c r="C65" s="34">
        <f>-C63*C66</f>
        <v>-12751.668</v>
      </c>
      <c r="D65" s="34">
        <f>-D63*D66</f>
        <v>-11914.8464</v>
      </c>
      <c r="E65" s="34">
        <f>-E63*E66</f>
        <v>-11725.156300000001</v>
      </c>
      <c r="F65" s="34">
        <f>-F63*F66</f>
        <v>-18772.178400000001</v>
      </c>
      <c r="G65" s="68">
        <f>-G63*G66</f>
        <v>-21246.134999999998</v>
      </c>
      <c r="H65" s="77">
        <f>-H63*H52</f>
        <v>-25149.654684000005</v>
      </c>
      <c r="I65" s="77">
        <f t="shared" ref="I65:L65" si="4">-I63*I52</f>
        <v>-29021.177283840007</v>
      </c>
      <c r="J65" s="77">
        <f t="shared" si="4"/>
        <v>-32687.234826019201</v>
      </c>
      <c r="K65" s="77">
        <f t="shared" si="4"/>
        <v>-36477.05915367361</v>
      </c>
      <c r="L65" s="77">
        <f t="shared" si="4"/>
        <v>-40124.765069040972</v>
      </c>
    </row>
    <row r="66" spans="1:12" x14ac:dyDescent="0.2">
      <c r="A66" s="55" t="s">
        <v>387</v>
      </c>
      <c r="B66" s="71">
        <f>'Annual Financial'!O44</f>
        <v>0.16250000000000001</v>
      </c>
      <c r="C66" s="71">
        <f>'Annual Financial'!N44</f>
        <v>0.16200000000000001</v>
      </c>
      <c r="D66" s="71">
        <f>'Annual Financial'!M44</f>
        <v>0.15920000000000001</v>
      </c>
      <c r="E66" s="71">
        <f>'Annual Financial'!L44</f>
        <v>0.1391</v>
      </c>
      <c r="F66" s="71">
        <f>'Annual Financial'!K44</f>
        <v>0.16439999999999999</v>
      </c>
      <c r="G66" s="66">
        <f>'Annual Financial'!J44</f>
        <v>0.17249999999999999</v>
      </c>
      <c r="H66" s="78">
        <f>-H65/H63</f>
        <v>0.18</v>
      </c>
      <c r="I66" s="78">
        <f t="shared" ref="I66:L66" si="5">-I65/I63</f>
        <v>0.18</v>
      </c>
      <c r="J66" s="78">
        <f t="shared" si="5"/>
        <v>0.18</v>
      </c>
      <c r="K66" s="78">
        <f t="shared" si="5"/>
        <v>0.18</v>
      </c>
      <c r="L66" s="78">
        <f t="shared" si="5"/>
        <v>0.18</v>
      </c>
    </row>
    <row r="67" spans="1:12" x14ac:dyDescent="0.2">
      <c r="A67" s="75" t="s">
        <v>388</v>
      </c>
      <c r="B67" s="63">
        <f>B63+B65</f>
        <v>34525.1</v>
      </c>
      <c r="C67" s="63">
        <f>C63+C65</f>
        <v>65962.331999999995</v>
      </c>
      <c r="D67" s="63">
        <f>D63+D65</f>
        <v>62927.153599999998</v>
      </c>
      <c r="E67" s="63">
        <f>E63+E65</f>
        <v>72567.843699999998</v>
      </c>
      <c r="F67" s="63">
        <f>F63+F65</f>
        <v>95413.821599999996</v>
      </c>
      <c r="G67" s="69">
        <f>G63+G65</f>
        <v>101919.86500000001</v>
      </c>
      <c r="H67" s="79">
        <f>H63+H65</f>
        <v>114570.64911600002</v>
      </c>
      <c r="I67" s="79">
        <f t="shared" ref="I67:L67" si="6">I63+I65</f>
        <v>132207.58540416003</v>
      </c>
      <c r="J67" s="79">
        <f t="shared" si="6"/>
        <v>148908.51420742081</v>
      </c>
      <c r="K67" s="79">
        <f t="shared" si="6"/>
        <v>166173.26947784645</v>
      </c>
      <c r="L67" s="79">
        <f t="shared" si="6"/>
        <v>182790.59642563111</v>
      </c>
    </row>
    <row r="68" spans="1:12" x14ac:dyDescent="0.2">
      <c r="A68" s="55" t="s">
        <v>389</v>
      </c>
      <c r="B68" s="35">
        <f>'Annual Financial'!W5</f>
        <v>13679</v>
      </c>
      <c r="C68" s="35">
        <f>'Annual Financial'!V5</f>
        <v>10273</v>
      </c>
      <c r="D68" s="35">
        <f>'Annual Financial'!U5</f>
        <v>13475</v>
      </c>
      <c r="E68" s="35">
        <f>'Annual Financial'!T5</f>
        <v>11946</v>
      </c>
      <c r="F68" s="35">
        <f>'Annual Financial'!S5</f>
        <v>15311</v>
      </c>
      <c r="G68" s="65">
        <f>'Annual Financial'!R5</f>
        <v>17675</v>
      </c>
      <c r="H68" s="77">
        <f>H61*H53</f>
        <v>23286.717300000004</v>
      </c>
      <c r="I68" s="77">
        <f t="shared" ref="I68:L68" si="7">I61*I53</f>
        <v>30823.145808000005</v>
      </c>
      <c r="J68" s="77">
        <f t="shared" si="7"/>
        <v>39477.336746400004</v>
      </c>
      <c r="K68" s="77">
        <f t="shared" si="7"/>
        <v>46320.075115776017</v>
      </c>
      <c r="L68" s="77">
        <f t="shared" si="7"/>
        <v>54136.58779156323</v>
      </c>
    </row>
    <row r="69" spans="1:12" x14ac:dyDescent="0.2">
      <c r="A69" s="55" t="s">
        <v>390</v>
      </c>
      <c r="B69" s="72">
        <f>B68/B61</f>
        <v>7.4942337298043574E-2</v>
      </c>
      <c r="C69" s="72">
        <f>C68/C61</f>
        <v>3.9873931151193344E-2</v>
      </c>
      <c r="D69" s="72">
        <f>D68/D61</f>
        <v>4.764245004172029E-2</v>
      </c>
      <c r="E69" s="72">
        <f>E68/E61</f>
        <v>3.8862176880485634E-2</v>
      </c>
      <c r="F69" s="72">
        <f>F68/F61</f>
        <v>4.3743464621819446E-2</v>
      </c>
      <c r="G69" s="67">
        <f>G68/G61</f>
        <v>4.759032738375709E-2</v>
      </c>
      <c r="H69" s="78">
        <f>H68/H61</f>
        <v>5.5E-2</v>
      </c>
      <c r="I69" s="78">
        <f t="shared" ref="I69:L69" si="8">I68/I61</f>
        <v>6.5000000000000002E-2</v>
      </c>
      <c r="J69" s="78">
        <f t="shared" si="8"/>
        <v>7.4999999999999997E-2</v>
      </c>
      <c r="K69" s="78">
        <f t="shared" si="8"/>
        <v>0.08</v>
      </c>
      <c r="L69" s="78">
        <f t="shared" si="8"/>
        <v>8.5000000000000006E-2</v>
      </c>
    </row>
    <row r="70" spans="1:12" x14ac:dyDescent="0.2">
      <c r="A70" s="55" t="s">
        <v>391</v>
      </c>
      <c r="B70" s="35">
        <f>'Annual Financial'!W17</f>
        <v>-22281</v>
      </c>
      <c r="C70" s="35">
        <f>'Annual Financial'!V17</f>
        <v>-24640</v>
      </c>
      <c r="D70" s="35">
        <f>'Annual Financial'!U17</f>
        <v>-31485</v>
      </c>
      <c r="E70" s="35">
        <f>'Annual Financial'!T17</f>
        <v>-32251</v>
      </c>
      <c r="F70" s="35">
        <f>'Annual Financial'!S17</f>
        <v>-52535</v>
      </c>
      <c r="G70" s="65">
        <f>'Annual Financial'!R17</f>
        <v>-66980</v>
      </c>
      <c r="H70" s="77">
        <f>-H61*H54</f>
        <v>-84678.972000000009</v>
      </c>
      <c r="I70" s="77">
        <f t="shared" ref="I70:L70" si="9">-I61*I54</f>
        <v>-85356.403776000006</v>
      </c>
      <c r="J70" s="77">
        <f t="shared" si="9"/>
        <v>-84218.318392320012</v>
      </c>
      <c r="K70" s="77">
        <f t="shared" si="9"/>
        <v>-81060.131452608039</v>
      </c>
      <c r="L70" s="77">
        <f t="shared" si="9"/>
        <v>-76428.123941030426</v>
      </c>
    </row>
    <row r="71" spans="1:12" x14ac:dyDescent="0.2">
      <c r="A71" s="55" t="s">
        <v>390</v>
      </c>
      <c r="B71" s="72">
        <f>-B70/B61</f>
        <v>0.12206961161910293</v>
      </c>
      <c r="C71" s="72">
        <f>-C70/C61</f>
        <v>9.5638437025737766E-2</v>
      </c>
      <c r="D71" s="72">
        <f>-D70/D61</f>
        <v>0.11131892686928113</v>
      </c>
      <c r="E71" s="72">
        <f>-E70/E61</f>
        <v>0.10491746748472644</v>
      </c>
      <c r="F71" s="72">
        <f>-F70/F61</f>
        <v>0.15009228096840735</v>
      </c>
      <c r="G71" s="67">
        <f>-G70/G61</f>
        <v>0.18034512747745685</v>
      </c>
      <c r="H71" s="78">
        <f>-H70/H61</f>
        <v>0.2</v>
      </c>
      <c r="I71" s="78">
        <f t="shared" ref="I71:L71" si="10">-I70/I61</f>
        <v>0.18</v>
      </c>
      <c r="J71" s="78">
        <f t="shared" si="10"/>
        <v>0.16</v>
      </c>
      <c r="K71" s="78">
        <f t="shared" si="10"/>
        <v>0.14000000000000001</v>
      </c>
      <c r="L71" s="78">
        <f t="shared" si="10"/>
        <v>0.12</v>
      </c>
    </row>
    <row r="72" spans="1:12" x14ac:dyDescent="0.2">
      <c r="A72" s="55" t="s">
        <v>392</v>
      </c>
      <c r="B72" s="35">
        <f>'Annual Financial'!W38</f>
        <v>1827</v>
      </c>
      <c r="C72" s="35">
        <f>'Annual Financial'!V38</f>
        <v>-1523</v>
      </c>
      <c r="D72" s="35">
        <f>'Annual Financial'!U38</f>
        <v>-2235</v>
      </c>
      <c r="E72" s="35">
        <f>'Annual Financial'!T38</f>
        <v>-3845</v>
      </c>
      <c r="F72" s="35">
        <f>'Annual Financial'!S38</f>
        <v>-8406</v>
      </c>
      <c r="G72" s="65">
        <f>'Annual Financial'!R38</f>
        <v>-8545</v>
      </c>
      <c r="H72" s="77">
        <f>-(H61-G61)*H55</f>
        <v>-5199.5860000000048</v>
      </c>
      <c r="I72" s="77">
        <f t="shared" ref="I72:L72" si="11">-(I61-H61)*I55</f>
        <v>-5080.738320000004</v>
      </c>
      <c r="J72" s="77">
        <f t="shared" si="11"/>
        <v>-5216.224675200001</v>
      </c>
      <c r="K72" s="77">
        <f t="shared" si="11"/>
        <v>-5263.6448995200108</v>
      </c>
      <c r="L72" s="77">
        <f t="shared" si="11"/>
        <v>-5790.0093894720085</v>
      </c>
    </row>
    <row r="73" spans="1:12" x14ac:dyDescent="0.2">
      <c r="A73" s="55" t="s">
        <v>393</v>
      </c>
      <c r="B73" s="72">
        <f>IFERROR(-B72/(B61-B61/(1+B62)),0)</f>
        <v>-8.8392234900431771E-2</v>
      </c>
      <c r="C73" s="72">
        <f>IFERROR(-C72/(C61-C61/(1+C62)),0)</f>
        <v>2.0276953854243798E-2</v>
      </c>
      <c r="D73" s="72">
        <f>IFERROR(-D72/(D61-D61/(1+D62)),0)</f>
        <v>8.870073376867281E-2</v>
      </c>
      <c r="E73" s="72">
        <f>IFERROR(-E72/(E61-E61/(1+E62)),0)</f>
        <v>0.15661410119599434</v>
      </c>
      <c r="F73" s="72">
        <f>IFERROR(-F72/(F61-F61/(1+F62)),0)</f>
        <v>0.19716592760418455</v>
      </c>
      <c r="G73" s="67">
        <f>IFERROR(-G72/(G61-G61/(1+G62)),0)</f>
        <v>0.19823685452953574</v>
      </c>
      <c r="H73" s="78">
        <f>-H72/(H61-G61)</f>
        <v>0.1</v>
      </c>
      <c r="I73" s="78">
        <f t="shared" ref="I73:L73" si="12">-I72/(I61-H61)</f>
        <v>0.1</v>
      </c>
      <c r="J73" s="78">
        <f t="shared" si="12"/>
        <v>0.1</v>
      </c>
      <c r="K73" s="78">
        <f t="shared" si="12"/>
        <v>0.1</v>
      </c>
      <c r="L73" s="78">
        <f t="shared" si="12"/>
        <v>0.10000000000000002</v>
      </c>
    </row>
    <row r="74" spans="1:12" x14ac:dyDescent="0.2">
      <c r="A74" s="76" t="s">
        <v>394</v>
      </c>
      <c r="B74" s="64">
        <f>B67+B68+B70+B72</f>
        <v>27750.1</v>
      </c>
      <c r="C74" s="64">
        <f>C67+C68+C70+C72</f>
        <v>50072.331999999995</v>
      </c>
      <c r="D74" s="64">
        <f>D67+D68+D70+D72</f>
        <v>42682.153599999991</v>
      </c>
      <c r="E74" s="64">
        <f>E67+E68+E70+E72</f>
        <v>48417.843699999998</v>
      </c>
      <c r="F74" s="64">
        <f>F67+F68+F70+F72</f>
        <v>49783.821599999996</v>
      </c>
      <c r="G74" s="70">
        <f>G67+G68+G70+G72</f>
        <v>44069.865000000005</v>
      </c>
      <c r="H74" s="80">
        <f>H67+H68+H70+H72</f>
        <v>47978.808415999993</v>
      </c>
      <c r="I74" s="80">
        <f t="shared" ref="I74:L74" si="13">I67+I68+I70+I72</f>
        <v>72593.589116160016</v>
      </c>
      <c r="J74" s="80">
        <f t="shared" si="13"/>
        <v>98951.307886300783</v>
      </c>
      <c r="K74" s="80">
        <f t="shared" si="13"/>
        <v>126169.56824149442</v>
      </c>
      <c r="L74" s="80">
        <f t="shared" si="13"/>
        <v>154709.0508866919</v>
      </c>
    </row>
    <row r="75" spans="1:12" ht="17" thickBot="1" x14ac:dyDescent="0.25">
      <c r="A75" s="56" t="s">
        <v>395</v>
      </c>
      <c r="B75" s="73">
        <f>B74/B61</f>
        <v>0.15203284993453023</v>
      </c>
      <c r="C75" s="73">
        <f>C74/C61</f>
        <v>0.19435225530494454</v>
      </c>
      <c r="D75" s="73">
        <f>D74/D61</f>
        <v>0.15090778260193183</v>
      </c>
      <c r="E75" s="73">
        <f>E74/E61</f>
        <v>0.15751069864733858</v>
      </c>
      <c r="F75" s="73">
        <f>F74/F61</f>
        <v>0.14223217548811773</v>
      </c>
      <c r="G75" s="74">
        <f>G74/G61</f>
        <v>0.11865908362704262</v>
      </c>
      <c r="H75" s="81">
        <f>H74/H61</f>
        <v>0.113319298245614</v>
      </c>
      <c r="I75" s="81">
        <f t="shared" ref="I75:L75" si="14">I74/I61</f>
        <v>0.1530857142857143</v>
      </c>
      <c r="J75" s="81">
        <f t="shared" si="14"/>
        <v>0.18799009009009002</v>
      </c>
      <c r="K75" s="81">
        <f t="shared" si="14"/>
        <v>0.21790909090909086</v>
      </c>
      <c r="L75" s="81">
        <f t="shared" si="14"/>
        <v>0.24290909090909091</v>
      </c>
    </row>
    <row r="76" spans="1:12" ht="17" thickBot="1" x14ac:dyDescent="0.25"/>
    <row r="77" spans="1:12" x14ac:dyDescent="0.2">
      <c r="A77" s="118" t="s">
        <v>423</v>
      </c>
      <c r="B77" s="114"/>
      <c r="C77" s="114"/>
      <c r="D77" s="114"/>
      <c r="E77" s="114"/>
      <c r="F77" s="114"/>
      <c r="G77" s="114"/>
      <c r="H77" s="114"/>
      <c r="I77" s="114"/>
      <c r="J77" s="114"/>
      <c r="K77" s="114"/>
      <c r="L77" s="122"/>
    </row>
    <row r="78" spans="1:12" x14ac:dyDescent="0.2">
      <c r="A78" s="119" t="s">
        <v>424</v>
      </c>
      <c r="B78" s="106"/>
      <c r="C78" s="106"/>
      <c r="D78" s="106"/>
      <c r="E78" s="106"/>
      <c r="F78" s="106"/>
      <c r="G78" s="106"/>
      <c r="H78" s="107" t="str">
        <f>H60</f>
        <v>FY2026E</v>
      </c>
      <c r="I78" s="107" t="str">
        <f>I60</f>
        <v>FY2027E</v>
      </c>
      <c r="J78" s="107" t="str">
        <f>J60</f>
        <v>FY2028E</v>
      </c>
      <c r="K78" s="107" t="str">
        <f>K60</f>
        <v>FY2029E</v>
      </c>
      <c r="L78" s="123" t="str">
        <f>L60</f>
        <v>FY2030E</v>
      </c>
    </row>
    <row r="79" spans="1:12" x14ac:dyDescent="0.2">
      <c r="A79" s="120" t="s">
        <v>394</v>
      </c>
      <c r="B79" s="108"/>
      <c r="C79" s="108"/>
      <c r="D79" s="108"/>
      <c r="E79" s="108"/>
      <c r="F79" s="108"/>
      <c r="G79" s="108"/>
      <c r="H79" s="109">
        <f>H74</f>
        <v>47978.808415999993</v>
      </c>
      <c r="I79" s="109">
        <f t="shared" ref="I79:L79" si="15">I74</f>
        <v>72593.589116160016</v>
      </c>
      <c r="J79" s="109">
        <f t="shared" si="15"/>
        <v>98951.307886300783</v>
      </c>
      <c r="K79" s="109">
        <f t="shared" si="15"/>
        <v>126169.56824149442</v>
      </c>
      <c r="L79" s="124">
        <f t="shared" si="15"/>
        <v>154709.0508866919</v>
      </c>
    </row>
    <row r="80" spans="1:12" x14ac:dyDescent="0.2">
      <c r="A80" s="120" t="s">
        <v>425</v>
      </c>
      <c r="B80" s="108"/>
      <c r="C80" s="110" t="s">
        <v>445</v>
      </c>
      <c r="D80" s="108"/>
      <c r="E80" s="108"/>
      <c r="F80" s="108"/>
      <c r="G80" s="108"/>
      <c r="H80" s="111">
        <v>0.5</v>
      </c>
      <c r="I80" s="112">
        <f>H80+1</f>
        <v>1.5</v>
      </c>
      <c r="J80" s="112">
        <f t="shared" ref="J80:L80" si="16">I80+1</f>
        <v>2.5</v>
      </c>
      <c r="K80" s="112">
        <f t="shared" si="16"/>
        <v>3.5</v>
      </c>
      <c r="L80" s="125">
        <f t="shared" si="16"/>
        <v>4.5</v>
      </c>
    </row>
    <row r="81" spans="1:12" x14ac:dyDescent="0.2">
      <c r="A81" s="120" t="s">
        <v>426</v>
      </c>
      <c r="B81" s="108"/>
      <c r="C81" s="110"/>
      <c r="D81" s="108"/>
      <c r="E81" s="108"/>
      <c r="F81" s="108"/>
      <c r="G81" s="108"/>
      <c r="H81" s="113">
        <f>1/(1+$B$85)^H80</f>
        <v>0.94599612030402469</v>
      </c>
      <c r="I81" s="113">
        <f t="shared" ref="I81:L81" si="17">1/(1+$B$85)^I80</f>
        <v>0.84658012003670724</v>
      </c>
      <c r="J81" s="113">
        <f t="shared" si="17"/>
        <v>0.75761188049167982</v>
      </c>
      <c r="K81" s="113">
        <f t="shared" si="17"/>
        <v>0.67799343249077493</v>
      </c>
      <c r="L81" s="126">
        <f t="shared" si="17"/>
        <v>0.60674219390844308</v>
      </c>
    </row>
    <row r="82" spans="1:12" ht="17" thickBot="1" x14ac:dyDescent="0.25">
      <c r="A82" s="121" t="s">
        <v>427</v>
      </c>
      <c r="B82" s="115"/>
      <c r="C82" s="116"/>
      <c r="D82" s="115"/>
      <c r="E82" s="115"/>
      <c r="F82" s="115"/>
      <c r="G82" s="115"/>
      <c r="H82" s="117">
        <f>H79*H81</f>
        <v>45387.766618346082</v>
      </c>
      <c r="I82" s="117">
        <f t="shared" ref="I82:L82" si="18">I79*I81</f>
        <v>61456.289387854151</v>
      </c>
      <c r="J82" s="117">
        <f t="shared" si="18"/>
        <v>74966.686444851526</v>
      </c>
      <c r="K82" s="117">
        <f t="shared" si="18"/>
        <v>85542.138647929867</v>
      </c>
      <c r="L82" s="127">
        <f t="shared" si="18"/>
        <v>93868.508952484408</v>
      </c>
    </row>
    <row r="83" spans="1:12" ht="17" thickBot="1" x14ac:dyDescent="0.25">
      <c r="A83" s="104"/>
      <c r="B83" s="104"/>
      <c r="C83" s="105"/>
      <c r="D83" s="104"/>
      <c r="E83" s="104"/>
      <c r="F83" s="104"/>
      <c r="G83" s="104"/>
      <c r="H83" s="104"/>
      <c r="I83" s="104"/>
      <c r="J83" s="104"/>
      <c r="K83" s="104"/>
      <c r="L83" s="104"/>
    </row>
    <row r="84" spans="1:12" x14ac:dyDescent="0.2">
      <c r="A84" s="133" t="s">
        <v>428</v>
      </c>
      <c r="B84" s="129"/>
      <c r="C84" s="130"/>
      <c r="D84" s="129"/>
      <c r="E84" s="129"/>
      <c r="F84" s="129"/>
      <c r="G84" s="129"/>
      <c r="H84" s="129"/>
      <c r="I84" s="129"/>
      <c r="J84" s="129"/>
      <c r="K84" s="129"/>
      <c r="L84" s="135"/>
    </row>
    <row r="85" spans="1:12" x14ac:dyDescent="0.2">
      <c r="A85" s="120" t="s">
        <v>429</v>
      </c>
      <c r="B85" s="128">
        <f>WACC!B26</f>
        <v>0.1174324767548366</v>
      </c>
      <c r="C85" s="110"/>
      <c r="D85" s="108"/>
      <c r="E85" s="108"/>
      <c r="F85" s="108"/>
      <c r="G85" s="108"/>
      <c r="H85" s="108"/>
      <c r="I85" s="108"/>
      <c r="J85" s="108"/>
      <c r="K85" s="108"/>
      <c r="L85" s="136"/>
    </row>
    <row r="86" spans="1:12" x14ac:dyDescent="0.2">
      <c r="A86" s="120" t="s">
        <v>430</v>
      </c>
      <c r="B86" s="49">
        <f>H56</f>
        <v>2.5000000000000001E-2</v>
      </c>
      <c r="C86" s="110"/>
      <c r="D86" s="108"/>
      <c r="E86" s="108"/>
      <c r="F86" s="108"/>
      <c r="G86" s="108"/>
      <c r="H86" s="108"/>
      <c r="I86" s="108"/>
      <c r="J86" s="108"/>
      <c r="K86" s="108"/>
      <c r="L86" s="136"/>
    </row>
    <row r="87" spans="1:12" x14ac:dyDescent="0.2">
      <c r="A87" s="120" t="s">
        <v>431</v>
      </c>
      <c r="B87" s="109">
        <f>L74*(1+B86)</f>
        <v>158576.77715885919</v>
      </c>
      <c r="C87" s="110"/>
      <c r="D87" s="108"/>
      <c r="E87" s="108"/>
      <c r="F87" s="108"/>
      <c r="G87" s="108"/>
      <c r="H87" s="108"/>
      <c r="I87" s="108"/>
      <c r="J87" s="108"/>
      <c r="K87" s="108"/>
      <c r="L87" s="136"/>
    </row>
    <row r="88" spans="1:12" x14ac:dyDescent="0.2">
      <c r="A88" s="120" t="s">
        <v>432</v>
      </c>
      <c r="B88" s="109">
        <f>B87/(B85-B86)</f>
        <v>1715595.8893048004</v>
      </c>
      <c r="C88" s="110"/>
      <c r="D88" s="108"/>
      <c r="E88" s="108"/>
      <c r="F88" s="108"/>
      <c r="G88" s="108"/>
      <c r="H88" s="108"/>
      <c r="I88" s="108"/>
      <c r="J88" s="108"/>
      <c r="K88" s="108"/>
      <c r="L88" s="136"/>
    </row>
    <row r="89" spans="1:12" x14ac:dyDescent="0.2">
      <c r="A89" s="120" t="s">
        <v>433</v>
      </c>
      <c r="B89" s="112">
        <f>L80</f>
        <v>4.5</v>
      </c>
      <c r="C89" s="110" t="s">
        <v>444</v>
      </c>
      <c r="D89" s="108"/>
      <c r="E89" s="108"/>
      <c r="F89" s="108"/>
      <c r="G89" s="108"/>
      <c r="H89" s="108"/>
      <c r="I89" s="108"/>
      <c r="J89" s="108"/>
      <c r="K89" s="108"/>
      <c r="L89" s="136"/>
    </row>
    <row r="90" spans="1:12" x14ac:dyDescent="0.2">
      <c r="A90" s="120" t="s">
        <v>434</v>
      </c>
      <c r="B90" s="109">
        <f>B88/(1+B85)^B89</f>
        <v>1040924.4137371011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36"/>
    </row>
    <row r="91" spans="1:12" ht="17" thickBot="1" x14ac:dyDescent="0.25">
      <c r="A91" s="134" t="s">
        <v>435</v>
      </c>
      <c r="B91" s="132">
        <f>B88/(L63+L68)</f>
        <v>6.1923256404608011</v>
      </c>
      <c r="C91" s="131"/>
      <c r="D91" s="131"/>
      <c r="E91" s="131"/>
      <c r="F91" s="131"/>
      <c r="G91" s="131"/>
      <c r="H91" s="131"/>
      <c r="I91" s="131"/>
      <c r="J91" s="131"/>
      <c r="K91" s="131"/>
      <c r="L91" s="137"/>
    </row>
    <row r="92" spans="1:12" ht="17" thickBot="1" x14ac:dyDescent="0.25">
      <c r="A92" s="104"/>
      <c r="B92" s="104"/>
      <c r="C92" s="104"/>
      <c r="D92" s="104"/>
      <c r="E92" s="104"/>
      <c r="F92" s="104"/>
      <c r="G92" s="104"/>
      <c r="H92" s="104"/>
      <c r="I92" s="104"/>
      <c r="J92" s="104"/>
      <c r="K92" s="104"/>
      <c r="L92" s="104"/>
    </row>
    <row r="93" spans="1:12" x14ac:dyDescent="0.2">
      <c r="A93" s="133" t="s">
        <v>436</v>
      </c>
      <c r="B93" s="129"/>
      <c r="C93" s="129"/>
      <c r="D93" s="129"/>
      <c r="E93" s="129"/>
      <c r="F93" s="129"/>
      <c r="G93" s="129"/>
      <c r="H93" s="129"/>
      <c r="I93" s="129"/>
      <c r="J93" s="129"/>
      <c r="K93" s="129"/>
      <c r="L93" s="135"/>
    </row>
    <row r="94" spans="1:12" x14ac:dyDescent="0.2">
      <c r="A94" s="120" t="s">
        <v>437</v>
      </c>
      <c r="B94" s="109">
        <f>SUM(H82:L82)</f>
        <v>361221.39005146606</v>
      </c>
      <c r="C94" s="108"/>
      <c r="D94" s="108"/>
      <c r="E94" s="108"/>
      <c r="F94" s="108"/>
      <c r="G94" s="108"/>
      <c r="H94" s="108"/>
      <c r="I94" s="108"/>
      <c r="J94" s="108"/>
      <c r="K94" s="108"/>
      <c r="L94" s="136"/>
    </row>
    <row r="95" spans="1:12" x14ac:dyDescent="0.2">
      <c r="A95" s="120" t="s">
        <v>434</v>
      </c>
      <c r="B95" s="109">
        <f>B90</f>
        <v>1040924.4137371011</v>
      </c>
      <c r="C95" s="108"/>
      <c r="D95" s="108"/>
      <c r="E95" s="108"/>
      <c r="F95" s="108"/>
      <c r="G95" s="108"/>
      <c r="H95" s="108"/>
      <c r="I95" s="108"/>
      <c r="J95" s="108"/>
      <c r="K95" s="108"/>
      <c r="L95" s="136"/>
    </row>
    <row r="96" spans="1:12" x14ac:dyDescent="0.2">
      <c r="A96" s="143" t="s">
        <v>438</v>
      </c>
      <c r="B96" s="138">
        <f>B94+B95</f>
        <v>1402145.8037885672</v>
      </c>
      <c r="C96" s="108"/>
      <c r="D96" s="108"/>
      <c r="E96" s="108"/>
      <c r="F96" s="108"/>
      <c r="G96" s="108"/>
      <c r="H96" s="108"/>
      <c r="I96" s="108"/>
      <c r="J96" s="108"/>
      <c r="K96" s="108"/>
      <c r="L96" s="136"/>
    </row>
    <row r="97" spans="1:12" x14ac:dyDescent="0.2">
      <c r="A97" s="120" t="s">
        <v>439</v>
      </c>
      <c r="B97" s="109">
        <f>-B12</f>
        <v>53480</v>
      </c>
      <c r="C97" s="108"/>
      <c r="D97" s="108"/>
      <c r="E97" s="108"/>
      <c r="F97" s="108"/>
      <c r="G97" s="108"/>
      <c r="H97" s="108"/>
      <c r="I97" s="108"/>
      <c r="J97" s="108"/>
      <c r="K97" s="108"/>
      <c r="L97" s="136"/>
    </row>
    <row r="98" spans="1:12" x14ac:dyDescent="0.2">
      <c r="A98" s="143" t="s">
        <v>440</v>
      </c>
      <c r="B98" s="138">
        <f>B96+B97</f>
        <v>1455625.8037885672</v>
      </c>
      <c r="C98" s="108"/>
      <c r="D98" s="108"/>
      <c r="E98" s="108"/>
      <c r="F98" s="108"/>
      <c r="G98" s="108"/>
      <c r="H98" s="108"/>
      <c r="I98" s="108"/>
      <c r="J98" s="108"/>
      <c r="K98" s="108"/>
      <c r="L98" s="136"/>
    </row>
    <row r="99" spans="1:12" x14ac:dyDescent="0.2">
      <c r="A99" s="120" t="s">
        <v>341</v>
      </c>
      <c r="B99" s="139">
        <f>B8</f>
        <v>12314</v>
      </c>
      <c r="C99" s="108"/>
      <c r="D99" s="108"/>
      <c r="E99" s="108"/>
      <c r="F99" s="108"/>
      <c r="G99" s="108"/>
      <c r="H99" s="108"/>
      <c r="I99" s="108"/>
      <c r="J99" s="108"/>
      <c r="K99" s="108"/>
      <c r="L99" s="136"/>
    </row>
    <row r="100" spans="1:12" x14ac:dyDescent="0.2">
      <c r="A100" s="143" t="s">
        <v>441</v>
      </c>
      <c r="B100" s="140">
        <f>B98/B99</f>
        <v>118.20901443792165</v>
      </c>
      <c r="C100" s="108"/>
      <c r="D100" s="108"/>
      <c r="E100" s="108"/>
      <c r="F100" s="108"/>
      <c r="G100" s="108"/>
      <c r="H100" s="108"/>
      <c r="I100" s="108"/>
      <c r="J100" s="108"/>
      <c r="K100" s="108"/>
      <c r="L100" s="136"/>
    </row>
    <row r="101" spans="1:12" x14ac:dyDescent="0.2">
      <c r="A101" s="120" t="s">
        <v>340</v>
      </c>
      <c r="B101" s="141">
        <f>B7</f>
        <v>353.78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36"/>
    </row>
    <row r="102" spans="1:12" x14ac:dyDescent="0.2">
      <c r="A102" s="143" t="s">
        <v>442</v>
      </c>
      <c r="B102" s="142">
        <f>B100/B101-1</f>
        <v>-0.66586857810525846</v>
      </c>
      <c r="C102" s="108"/>
      <c r="D102" s="108"/>
      <c r="E102" s="108"/>
      <c r="F102" s="108"/>
      <c r="G102" s="108"/>
      <c r="H102" s="108"/>
      <c r="I102" s="108"/>
      <c r="J102" s="108"/>
      <c r="K102" s="108"/>
      <c r="L102" s="136"/>
    </row>
    <row r="103" spans="1:12" ht="17" thickBot="1" x14ac:dyDescent="0.25">
      <c r="A103" s="134" t="s">
        <v>443</v>
      </c>
      <c r="B103" s="53">
        <f>B95/B96</f>
        <v>0.74237958058608899</v>
      </c>
      <c r="C103" s="131"/>
      <c r="D103" s="131"/>
      <c r="E103" s="131"/>
      <c r="F103" s="131"/>
      <c r="G103" s="131"/>
      <c r="H103" s="131"/>
      <c r="I103" s="131"/>
      <c r="J103" s="131"/>
      <c r="K103" s="131"/>
      <c r="L103" s="137"/>
    </row>
    <row r="104" spans="1:12" ht="17" thickBot="1" x14ac:dyDescent="0.25"/>
    <row r="105" spans="1:12" x14ac:dyDescent="0.2">
      <c r="A105" s="118" t="s">
        <v>446</v>
      </c>
      <c r="B105" s="114"/>
      <c r="C105" s="114"/>
      <c r="D105" s="114"/>
      <c r="E105" s="114"/>
      <c r="F105" s="114"/>
      <c r="G105" s="122"/>
    </row>
    <row r="106" spans="1:12" x14ac:dyDescent="0.2">
      <c r="A106" s="55"/>
      <c r="B106" s="144" t="s">
        <v>447</v>
      </c>
      <c r="C106" s="152">
        <f>$B$86+-0.01</f>
        <v>1.5000000000000001E-2</v>
      </c>
      <c r="D106" s="152">
        <f>$B$86+-0.005</f>
        <v>0.02</v>
      </c>
      <c r="E106" s="152">
        <f>$B$86+0</f>
        <v>2.5000000000000001E-2</v>
      </c>
      <c r="F106" s="152">
        <f>$B$86+0.005</f>
        <v>3.0000000000000002E-2</v>
      </c>
      <c r="G106" s="153">
        <f>$B$86+0.01</f>
        <v>3.5000000000000003E-2</v>
      </c>
    </row>
    <row r="107" spans="1:12" x14ac:dyDescent="0.2">
      <c r="A107" s="55"/>
      <c r="B107" s="152">
        <f>$B$85+-0.01</f>
        <v>0.10743247675483661</v>
      </c>
      <c r="C107" s="141" cm="1">
        <f t="array" ref="C107">(SUMPRODUCT($H$74:$L$74/(1+$B107)^$H$80:$L$80)+$L$74*(1+C$106)/($B107-C$106)/(1+$B107)^$L$80-$B$12)/$B$8</f>
        <v>121.5993127884024</v>
      </c>
      <c r="D107" s="141" cm="1">
        <f t="array" ref="D107">(SUMPRODUCT($H$74:$L$74/(1+$B107)^$H$80:$L$80)+$L$74*(1+D$106)/($B107-D$106)/(1+$B107)^$L$80-$B$12)/$B$8</f>
        <v>127.03780875913455</v>
      </c>
      <c r="E107" s="141" cm="1">
        <f t="array" ref="E107">(SUMPRODUCT($H$74:$L$74/(1+$B107)^$H$80:$L$80)+$L$74*(1+E$106)/($B107-E$106)/(1+$B107)^$L$80-$B$12)/$B$8</f>
        <v>133.13605634535028</v>
      </c>
      <c r="F107" s="141" cm="1">
        <f t="array" ref="F107">(SUMPRODUCT($H$74:$L$74/(1+$B107)^$H$80:$L$80)+$L$74*(1+F$106)/($B107-F$106)/(1+$B107)^$L$80-$B$12)/$B$8</f>
        <v>140.02186076066297</v>
      </c>
      <c r="G107" s="148" cm="1">
        <f t="array" ref="G107">(SUMPRODUCT($H$74:$L$74/(1+$B107)^$H$80:$L$80)+$L$74*(1+G$106)/($B107-G$106)/(1+$B107)^$L$80-$B$12)/$B$8</f>
        <v>147.8583166963729</v>
      </c>
    </row>
    <row r="108" spans="1:12" x14ac:dyDescent="0.2">
      <c r="A108" s="55"/>
      <c r="B108" s="152">
        <f>$B$85+-0.005</f>
        <v>0.1124324767548366</v>
      </c>
      <c r="C108" s="141" cm="1">
        <f t="array" ref="C108">(SUMPRODUCT($H$74:$L$74/(1+$B108)^$H$80:$L$80)+$L$74*(1+C$106)/($B108-C$106)/(1+$B108)^$L$80-$B$12)/$B$8</f>
        <v>115.08341304325972</v>
      </c>
      <c r="D108" s="141" cm="1">
        <f t="array" ref="D108">(SUMPRODUCT($H$74:$L$74/(1+$B108)^$H$80:$L$80)+$L$74*(1+D$106)/($B108-D$106)/(1+$B108)^$L$80-$B$12)/$B$8</f>
        <v>119.88738470048379</v>
      </c>
      <c r="E108" s="141" cm="1">
        <f t="array" ref="E108">(SUMPRODUCT($H$74:$L$74/(1+$B108)^$H$80:$L$80)+$L$74*(1+E$106)/($B108-E$106)/(1+$B108)^$L$80-$B$12)/$B$8</f>
        <v>125.24080569684693</v>
      </c>
      <c r="F108" s="141" cm="1">
        <f t="array" ref="F108">(SUMPRODUCT($H$74:$L$74/(1+$B108)^$H$80:$L$80)+$L$74*(1+F$106)/($B108-F$106)/(1+$B108)^$L$80-$B$12)/$B$8</f>
        <v>131.24365774358174</v>
      </c>
      <c r="G108" s="148" cm="1">
        <f t="array" ref="G108">(SUMPRODUCT($H$74:$L$74/(1+$B108)^$H$80:$L$80)+$L$74*(1+G$106)/($B108-G$106)/(1+$B108)^$L$80-$B$12)/$B$8</f>
        <v>138.02174678367018</v>
      </c>
    </row>
    <row r="109" spans="1:12" x14ac:dyDescent="0.2">
      <c r="A109" s="55"/>
      <c r="B109" s="152">
        <f>$B$85+0</f>
        <v>0.1174324767548366</v>
      </c>
      <c r="C109" s="141" cm="1">
        <f t="array" ref="C109">(SUMPRODUCT($H$74:$L$74/(1+$B109)^$H$80:$L$80)+$L$74*(1+C$106)/($B109-C$106)/(1+$B109)^$L$80-$B$12)/$B$8</f>
        <v>109.21238577028201</v>
      </c>
      <c r="D109" s="141" cm="1">
        <f t="array" ref="D109">(SUMPRODUCT($H$74:$L$74/(1+$B109)^$H$80:$L$80)+$L$74*(1+D$106)/($B109-D$106)/(1+$B109)^$L$80-$B$12)/$B$8</f>
        <v>113.47985744857034</v>
      </c>
      <c r="E109" s="140" cm="1">
        <f t="array" ref="E109">(SUMPRODUCT($H$74:$L$74/(1+$B109)^$H$80:$L$80)+$L$74*(1+E$106)/($B109-E$106)/(1+$B109)^$L$80-$B$12)/$B$8</f>
        <v>118.20901443792165</v>
      </c>
      <c r="F109" s="141" cm="1">
        <f t="array" ref="F109">(SUMPRODUCT($H$74:$L$74/(1+$B109)^$H$80:$L$80)+$L$74*(1+F$106)/($B109-F$106)/(1+$B109)^$L$80-$B$12)/$B$8</f>
        <v>123.47906391538264</v>
      </c>
      <c r="G109" s="148" cm="1">
        <f t="array" ref="G109">(SUMPRODUCT($H$74:$L$74/(1+$B109)^$H$80:$L$80)+$L$74*(1+G$106)/($B109-G$106)/(1+$B109)^$L$80-$B$12)/$B$8</f>
        <v>129.38843052668818</v>
      </c>
    </row>
    <row r="110" spans="1:12" x14ac:dyDescent="0.2">
      <c r="A110" s="55"/>
      <c r="B110" s="152">
        <f>$B$85+0.005</f>
        <v>0.12243247675483661</v>
      </c>
      <c r="C110" s="141" cm="1">
        <f t="array" ref="C110">(SUMPRODUCT($H$74:$L$74/(1+$B110)^$H$80:$L$80)+$L$74*(1+C$106)/($B110-C$106)/(1+$B110)^$L$80-$B$12)/$B$8</f>
        <v>103.89601122027554</v>
      </c>
      <c r="D110" s="141" cm="1">
        <f t="array" ref="D110">(SUMPRODUCT($H$74:$L$74/(1+$B110)^$H$80:$L$80)+$L$74*(1+D$106)/($B110-D$106)/(1+$B110)^$L$80-$B$12)/$B$8</f>
        <v>107.7062529605315</v>
      </c>
      <c r="E110" s="141" cm="1">
        <f t="array" ref="E110">(SUMPRODUCT($H$74:$L$74/(1+$B110)^$H$80:$L$80)+$L$74*(1+E$106)/($B110-E$106)/(1+$B110)^$L$80-$B$12)/$B$8</f>
        <v>111.90755955587096</v>
      </c>
      <c r="F110" s="141" cm="1">
        <f t="array" ref="F110">(SUMPRODUCT($H$74:$L$74/(1+$B110)^$H$80:$L$80)+$L$74*(1+F$106)/($B110-F$106)/(1+$B110)^$L$80-$B$12)/$B$8</f>
        <v>116.56339325497748</v>
      </c>
      <c r="G110" s="148" cm="1">
        <f t="array" ref="G110">(SUMPRODUCT($H$74:$L$74/(1+$B110)^$H$80:$L$80)+$L$74*(1+G$106)/($B110-G$106)/(1+$B110)^$L$80-$B$12)/$B$8</f>
        <v>121.7517331659533</v>
      </c>
    </row>
    <row r="111" spans="1:12" ht="17" thickBot="1" x14ac:dyDescent="0.25">
      <c r="A111" s="56"/>
      <c r="B111" s="154">
        <f>$B$85+0.01</f>
        <v>0.1274324767548366</v>
      </c>
      <c r="C111" s="146" cm="1">
        <f t="array" ref="C111">(SUMPRODUCT($H$74:$L$74/(1+$B111)^$H$80:$L$80)+$L$74*(1+C$106)/($B111-C$106)/(1+$B111)^$L$80-$B$12)/$B$8</f>
        <v>99.060122906786134</v>
      </c>
      <c r="D111" s="146" cm="1">
        <f t="array" ref="D111">(SUMPRODUCT($H$74:$L$74/(1+$B111)^$H$80:$L$80)+$L$74*(1+D$106)/($B111-D$106)/(1+$B111)^$L$80-$B$12)/$B$8</f>
        <v>102.47788884929903</v>
      </c>
      <c r="E111" s="146" cm="1">
        <f t="array" ref="E111">(SUMPRODUCT($H$74:$L$74/(1+$B111)^$H$80:$L$80)+$L$74*(1+E$106)/($B111-E$106)/(1+$B111)^$L$80-$B$12)/$B$8</f>
        <v>106.22931517480673</v>
      </c>
      <c r="F111" s="146" cm="1">
        <f t="array" ref="F111">(SUMPRODUCT($H$74:$L$74/(1+$B111)^$H$80:$L$80)+$L$74*(1+F$106)/($B111-F$106)/(1+$B111)^$L$80-$B$12)/$B$8</f>
        <v>110.36576982459151</v>
      </c>
      <c r="G111" s="149" cm="1">
        <f t="array" ref="G111">(SUMPRODUCT($H$74:$L$74/(1+$B111)^$H$80:$L$80)+$L$74*(1+G$106)/($B111-G$106)/(1+$B111)^$L$80-$B$12)/$B$8</f>
        <v>114.94973543535116</v>
      </c>
    </row>
    <row r="112" spans="1:12" ht="17" thickBot="1" x14ac:dyDescent="0.25"/>
    <row r="113" spans="1:7" x14ac:dyDescent="0.2">
      <c r="A113" s="118" t="s">
        <v>449</v>
      </c>
      <c r="B113" s="114"/>
      <c r="C113" s="114"/>
      <c r="D113" s="114"/>
      <c r="E113" s="114"/>
      <c r="F113" s="114"/>
      <c r="G113" s="122"/>
    </row>
    <row r="114" spans="1:7" x14ac:dyDescent="0.2">
      <c r="A114" s="55"/>
      <c r="B114" s="144" t="s">
        <v>448</v>
      </c>
      <c r="C114" s="155">
        <v>-0.04</v>
      </c>
      <c r="D114" s="155">
        <v>-0.02</v>
      </c>
      <c r="E114" s="155">
        <v>0</v>
      </c>
      <c r="F114" s="155">
        <v>0.02</v>
      </c>
      <c r="G114" s="156">
        <v>0.04</v>
      </c>
    </row>
    <row r="115" spans="1:7" x14ac:dyDescent="0.2">
      <c r="A115" s="55"/>
      <c r="B115" s="155">
        <v>-0.02</v>
      </c>
      <c r="C115" s="141">
        <f>_xlfn.LET(_xlpm.g_d,$B115,_xlpm.m_d,C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94.543680153366168</v>
      </c>
      <c r="D115" s="141">
        <f>_xlfn.LET(_xlpm.g_d,$B115,_xlpm.m_d,D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102.25617532309533</v>
      </c>
      <c r="E115" s="141">
        <f>_xlfn.LET(_xlpm.g_d,$B115,_xlpm.m_d,E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109.96867049282457</v>
      </c>
      <c r="F115" s="141">
        <f>_xlfn.LET(_xlpm.g_d,$B115,_xlpm.m_d,F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117.68116566255379</v>
      </c>
      <c r="G115" s="148">
        <f>_xlfn.LET(_xlpm.g_d,$B115,_xlpm.m_d,G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125.39366083228302</v>
      </c>
    </row>
    <row r="116" spans="1:7" x14ac:dyDescent="0.2">
      <c r="A116" s="55"/>
      <c r="B116" s="155">
        <v>-0.01</v>
      </c>
      <c r="C116" s="141">
        <f>_xlfn.LET(_xlpm.g_d,$B116,_xlpm.m_d,C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97.977850535242311</v>
      </c>
      <c r="D116" s="141">
        <f>_xlfn.LET(_xlpm.g_d,$B116,_xlpm.m_d,D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106.0007185290761</v>
      </c>
      <c r="E116" s="141">
        <f>_xlfn.LET(_xlpm.g_d,$B116,_xlpm.m_d,E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114.02358652290988</v>
      </c>
      <c r="F116" s="141">
        <f>_xlfn.LET(_xlpm.g_d,$B116,_xlpm.m_d,F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122.04645451674367</v>
      </c>
      <c r="G116" s="148">
        <f>_xlfn.LET(_xlpm.g_d,$B116,_xlpm.m_d,G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130.06932251057742</v>
      </c>
    </row>
    <row r="117" spans="1:7" x14ac:dyDescent="0.2">
      <c r="A117" s="55"/>
      <c r="B117" s="155">
        <v>0</v>
      </c>
      <c r="C117" s="141">
        <f>_xlfn.LET(_xlpm.g_d,$B117,_xlpm.m_d,C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101.52135155735978</v>
      </c>
      <c r="D117" s="141">
        <f>_xlfn.LET(_xlpm.g_d,$B117,_xlpm.m_d,D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109.86518299764072</v>
      </c>
      <c r="E117" s="140">
        <f>_xlfn.LET(_xlpm.g_d,$B117,_xlpm.m_d,E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118.20901443792165</v>
      </c>
      <c r="F117" s="141">
        <f>_xlfn.LET(_xlpm.g_d,$B117,_xlpm.m_d,F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126.5528458782026</v>
      </c>
      <c r="G117" s="148">
        <f>_xlfn.LET(_xlpm.g_d,$B117,_xlpm.m_d,G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134.89667731848351</v>
      </c>
    </row>
    <row r="118" spans="1:7" x14ac:dyDescent="0.2">
      <c r="A118" s="55"/>
      <c r="B118" s="155">
        <v>0.01</v>
      </c>
      <c r="C118" s="141">
        <f>_xlfn.LET(_xlpm.g_d,$B118,_xlpm.m_d,C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105.1767924349565</v>
      </c>
      <c r="D118" s="141">
        <f>_xlfn.LET(_xlpm.g_d,$B118,_xlpm.m_d,D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113.85245687207281</v>
      </c>
      <c r="E118" s="141">
        <f>_xlfn.LET(_xlpm.g_d,$B118,_xlpm.m_d,E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122.52812130918916</v>
      </c>
      <c r="F118" s="141">
        <f>_xlfn.LET(_xlpm.g_d,$B118,_xlpm.m_d,F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131.20378574630547</v>
      </c>
      <c r="G118" s="148">
        <f>_xlfn.LET(_xlpm.g_d,$B118,_xlpm.m_d,G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139.8794501834218</v>
      </c>
    </row>
    <row r="119" spans="1:7" ht="17" thickBot="1" x14ac:dyDescent="0.25">
      <c r="A119" s="56"/>
      <c r="B119" s="157">
        <v>0.02</v>
      </c>
      <c r="C119" s="146">
        <f>_xlfn.LET(_xlpm.g_d,$B119,_xlpm.m_d,C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108.94682340719147</v>
      </c>
      <c r="D119" s="146">
        <f>_xlfn.LET(_xlpm.g_d,$B119,_xlpm.m_d,D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117.9654742501865</v>
      </c>
      <c r="E119" s="146">
        <f>_xlfn.LET(_xlpm.g_d,$B119,_xlpm.m_d,E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126.98412509318156</v>
      </c>
      <c r="F119" s="146">
        <f>_xlfn.LET(_xlpm.g_d,$B119,_xlpm.m_d,F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136.00277593617659</v>
      </c>
      <c r="G119" s="149">
        <f>_xlfn.LET(_xlpm.g_d,$B119,_xlpm.m_d,G$114,_xlpm.rev_0,$G$61,_xlpm.rev_1,_xlpm.rev_0*(1+$H$50+_xlpm.g_d),_xlpm.rev_2,_xlpm.rev_1*(1+$I$50+_xlpm.g_d),_xlpm.rev_3,_xlpm.rev_2*(1+$J$50+_xlpm.g_d),_xlpm.rev_4,_xlpm.rev_3*(1+$K$50+_xlpm.g_d),_xlpm.rev_5,_xlpm.rev_4*(1+$L$50+_xlpm.g_d),_xlpm.fcf_1,_xlpm.rev_1*($H$51+_xlpm.m_d)*(1-$H$52)+_xlpm.rev_1*($H$53-$H$54)-(_xlpm.rev_1-_xlpm.rev_0)*$H$55,_xlpm.fcf_2,_xlpm.rev_2*($I$51+_xlpm.m_d)*(1-$I$52)+_xlpm.rev_2*($I$53-$I$54)-(_xlpm.rev_2-_xlpm.rev_1)*$I$55,_xlpm.fcf_3,_xlpm.rev_3*($J$51+_xlpm.m_d)*(1-$J$52)+_xlpm.rev_3*($J$53-$J$54)-(_xlpm.rev_3-_xlpm.rev_2)*$J$55,_xlpm.fcf_4,_xlpm.rev_4*($K$51+_xlpm.m_d)*(1-$K$52)+_xlpm.rev_4*($K$53-$K$54)-(_xlpm.rev_4-_xlpm.rev_3)*$K$55,_xlpm.fcf_5,_xlpm.rev_5*($L$51+_xlpm.m_d)*(1-$L$52)+_xlpm.rev_5*($L$53-$L$54)-(_xlpm.rev_5-_xlpm.rev_4)*$L$55,(_xlpm.fcf_1/(1+$B$85)^$H$80+_xlpm.fcf_2/(1+$B$85)^$I$80+_xlpm.fcf_3/(1+$B$85)^$J$80+_xlpm.fcf_4/(1+$B$85)^$K$80+_xlpm.fcf_5/(1+$B$85)^$L$80+_xlpm.fcf_5*(1+$B$86)/($B$85-$B$86)/(1+$B$85)^$L$80-$B$12)/$B$8)</f>
        <v>145.02142677917166</v>
      </c>
    </row>
    <row r="120" spans="1:7" ht="17" thickBot="1" x14ac:dyDescent="0.25"/>
    <row r="121" spans="1:7" x14ac:dyDescent="0.2">
      <c r="A121" s="118" t="s">
        <v>450</v>
      </c>
      <c r="B121" s="114"/>
      <c r="C121" s="114"/>
      <c r="D121" s="114"/>
      <c r="E121" s="114"/>
      <c r="F121" s="114"/>
      <c r="G121" s="122"/>
    </row>
    <row r="122" spans="1:7" x14ac:dyDescent="0.2">
      <c r="A122" s="55"/>
      <c r="B122" s="144" t="s">
        <v>451</v>
      </c>
      <c r="C122" s="145">
        <f>WACC!$B$5+-0.005</f>
        <v>4.7100000000000003E-2</v>
      </c>
      <c r="D122" s="145">
        <f>WACC!$B$5+-0.0025</f>
        <v>4.9599999999999998E-2</v>
      </c>
      <c r="E122" s="145">
        <f>WACC!$B$5+0</f>
        <v>5.21E-2</v>
      </c>
      <c r="F122" s="145">
        <f>WACC!$B$5+0.0025</f>
        <v>5.4600000000000003E-2</v>
      </c>
      <c r="G122" s="147">
        <f>WACC!$B$5+0.005</f>
        <v>5.7099999999999998E-2</v>
      </c>
    </row>
    <row r="123" spans="1:7" x14ac:dyDescent="0.2">
      <c r="A123" s="55"/>
      <c r="B123" s="150">
        <f>WACC!$B$6+-0.2</f>
        <v>1</v>
      </c>
      <c r="C123" s="141" cm="1">
        <f t="array" ref="C123">_xlfn.LET(_xlpm.wacc_s,(C$122+$B123*WACC!$B$7)*WACC!$B$20+(C$122+WACC!$B$11)*(1-WACC!$B$13)*WACC!$B$21+WACC!$B$25,(SUMPRODUCT($H$74:$L$74/(1+_xlpm.wacc_s)^$H$80:$L$80)+$L$74*(1+$B$86)/(_xlpm.wacc_s-$B$86)/(1+_xlpm.wacc_s)^$L$80-$B$12)/$B$8)</f>
        <v>143.76929912778186</v>
      </c>
      <c r="D123" s="141" cm="1">
        <f t="array" ref="D123">_xlfn.LET(_xlpm.wacc_s,(D$122+$B123*WACC!$B$7)*WACC!$B$20+(D$122+WACC!$B$11)*(1-WACC!$B$13)*WACC!$B$21+WACC!$B$25,(SUMPRODUCT($H$74:$L$74/(1+_xlpm.wacc_s)^$H$80:$L$80)+$L$74*(1+$B$86)/(_xlpm.wacc_s-$B$86)/(1+_xlpm.wacc_s)^$L$80-$B$12)/$B$8)</f>
        <v>139.06631326007749</v>
      </c>
      <c r="E123" s="141" cm="1">
        <f t="array" ref="E123">_xlfn.LET(_xlpm.wacc_s,(E$122+$B123*WACC!$B$7)*WACC!$B$20+(E$122+WACC!$B$11)*(1-WACC!$B$13)*WACC!$B$21+WACC!$B$25,(SUMPRODUCT($H$74:$L$74/(1+_xlpm.wacc_s)^$H$80:$L$80)+$L$74*(1+$B$86)/(_xlpm.wacc_s-$B$86)/(1+_xlpm.wacc_s)^$L$80-$B$12)/$B$8)</f>
        <v>134.6539567139902</v>
      </c>
      <c r="F123" s="141" cm="1">
        <f t="array" ref="F123">_xlfn.LET(_xlpm.wacc_s,(F$122+$B123*WACC!$B$7)*WACC!$B$20+(F$122+WACC!$B$11)*(1-WACC!$B$13)*WACC!$B$21+WACC!$B$25,(SUMPRODUCT($H$74:$L$74/(1+_xlpm.wacc_s)^$H$80:$L$80)+$L$74*(1+$B$86)/(_xlpm.wacc_s-$B$86)/(1+_xlpm.wacc_s)^$L$80-$B$12)/$B$8)</f>
        <v>130.50630567856848</v>
      </c>
      <c r="G123" s="148" cm="1">
        <f t="array" ref="G123">_xlfn.LET(_xlpm.wacc_s,(G$122+$B123*WACC!$B$7)*WACC!$B$20+(G$122+WACC!$B$11)*(1-WACC!$B$13)*WACC!$B$21+WACC!$B$25,(SUMPRODUCT($H$74:$L$74/(1+_xlpm.wacc_s)^$H$80:$L$80)+$L$74*(1+$B$86)/(_xlpm.wacc_s-$B$86)/(1+_xlpm.wacc_s)^$L$80-$B$12)/$B$8)</f>
        <v>126.60042760783558</v>
      </c>
    </row>
    <row r="124" spans="1:7" x14ac:dyDescent="0.2">
      <c r="A124" s="55"/>
      <c r="B124" s="150">
        <f>WACC!$B$6+-0.1</f>
        <v>1.0999999999999999</v>
      </c>
      <c r="C124" s="141" cm="1">
        <f t="array" ref="C124">_xlfn.LET(_xlpm.wacc_s,(C$122+$B124*WACC!$B$7)*WACC!$B$20+(C$122+WACC!$B$11)*(1-WACC!$B$13)*WACC!$B$21+WACC!$B$25,(SUMPRODUCT($H$74:$L$74/(1+_xlpm.wacc_s)^$H$80:$L$80)+$L$74*(1+$B$86)/(_xlpm.wacc_s-$B$86)/(1+_xlpm.wacc_s)^$L$80-$B$12)/$B$8)</f>
        <v>133.87637083465441</v>
      </c>
      <c r="D124" s="141" cm="1">
        <f t="array" ref="D124">_xlfn.LET(_xlpm.wacc_s,(D$122+$B124*WACC!$B$7)*WACC!$B$20+(D$122+WACC!$B$11)*(1-WACC!$B$13)*WACC!$B$21+WACC!$B$25,(SUMPRODUCT($H$74:$L$74/(1+_xlpm.wacc_s)^$H$80:$L$80)+$L$74*(1+$B$86)/(_xlpm.wacc_s-$B$86)/(1+_xlpm.wacc_s)^$L$80-$B$12)/$B$8)</f>
        <v>129.77456765853998</v>
      </c>
      <c r="E124" s="141" cm="1">
        <f t="array" ref="E124">_xlfn.LET(_xlpm.wacc_s,(E$122+$B124*WACC!$B$7)*WACC!$B$20+(E$122+WACC!$B$11)*(1-WACC!$B$13)*WACC!$B$21+WACC!$B$25,(SUMPRODUCT($H$74:$L$74/(1+_xlpm.wacc_s)^$H$80:$L$80)+$L$74*(1+$B$86)/(_xlpm.wacc_s-$B$86)/(1+_xlpm.wacc_s)^$L$80-$B$12)/$B$8)</f>
        <v>125.91063290900171</v>
      </c>
      <c r="F124" s="141" cm="1">
        <f t="array" ref="F124">_xlfn.LET(_xlpm.wacc_s,(F$122+$B124*WACC!$B$7)*WACC!$B$20+(F$122+WACC!$B$11)*(1-WACC!$B$13)*WACC!$B$21+WACC!$B$25,(SUMPRODUCT($H$74:$L$74/(1+_xlpm.wacc_s)^$H$80:$L$80)+$L$74*(1+$B$86)/(_xlpm.wacc_s-$B$86)/(1+_xlpm.wacc_s)^$L$80-$B$12)/$B$8)</f>
        <v>122.26463663647738</v>
      </c>
      <c r="G124" s="148" cm="1">
        <f t="array" ref="G124">_xlfn.LET(_xlpm.wacc_s,(G$122+$B124*WACC!$B$7)*WACC!$B$20+(G$122+WACC!$B$11)*(1-WACC!$B$13)*WACC!$B$21+WACC!$B$25,(SUMPRODUCT($H$74:$L$74/(1+_xlpm.wacc_s)^$H$80:$L$80)+$L$74*(1+$B$86)/(_xlpm.wacc_s-$B$86)/(1+_xlpm.wacc_s)^$L$80-$B$12)/$B$8)</f>
        <v>118.81881240181835</v>
      </c>
    </row>
    <row r="125" spans="1:7" x14ac:dyDescent="0.2">
      <c r="A125" s="55"/>
      <c r="B125" s="150">
        <f>WACC!$B$6+0</f>
        <v>1.2</v>
      </c>
      <c r="C125" s="141" cm="1">
        <f t="array" ref="C125">_xlfn.LET(_xlpm.wacc_s,(C$122+$B125*WACC!$B$7)*WACC!$B$20+(C$122+WACC!$B$11)*(1-WACC!$B$13)*WACC!$B$21+WACC!$B$25,(SUMPRODUCT($H$74:$L$74/(1+_xlpm.wacc_s)^$H$80:$L$80)+$L$74*(1+$B$86)/(_xlpm.wacc_s-$B$86)/(1+_xlpm.wacc_s)^$L$80-$B$12)/$B$8)</f>
        <v>125.22812134218321</v>
      </c>
      <c r="D125" s="141" cm="1">
        <f t="array" ref="D125">_xlfn.LET(_xlpm.wacc_s,(D$122+$B125*WACC!$B$7)*WACC!$B$20+(D$122+WACC!$B$11)*(1-WACC!$B$13)*WACC!$B$21+WACC!$B$25,(SUMPRODUCT($H$74:$L$74/(1+_xlpm.wacc_s)^$H$80:$L$80)+$L$74*(1+$B$86)/(_xlpm.wacc_s-$B$86)/(1+_xlpm.wacc_s)^$L$80-$B$12)/$B$8)</f>
        <v>121.62000105118578</v>
      </c>
      <c r="E125" s="140" cm="1">
        <f t="array" ref="E125">_xlfn.LET(_xlpm.wacc_s,(E$122+$B125*WACC!$B$7)*WACC!$B$20+(E$122+WACC!$B$11)*(1-WACC!$B$13)*WACC!$B$21+WACC!$B$25,(SUMPRODUCT($H$74:$L$74/(1+_xlpm.wacc_s)^$H$80:$L$80)+$L$74*(1+$B$86)/(_xlpm.wacc_s-$B$86)/(1+_xlpm.wacc_s)^$L$80-$B$12)/$B$8)</f>
        <v>118.20901443792165</v>
      </c>
      <c r="F125" s="141" cm="1">
        <f t="array" ref="F125">_xlfn.LET(_xlpm.wacc_s,(F$122+$B125*WACC!$B$7)*WACC!$B$20+(F$122+WACC!$B$11)*(1-WACC!$B$13)*WACC!$B$21+WACC!$B$25,(SUMPRODUCT($H$74:$L$74/(1+_xlpm.wacc_s)^$H$80:$L$80)+$L$74*(1+$B$86)/(_xlpm.wacc_s-$B$86)/(1+_xlpm.wacc_s)^$L$80-$B$12)/$B$8)</f>
        <v>114.97958888799678</v>
      </c>
      <c r="G125" s="148" cm="1">
        <f t="array" ref="G125">_xlfn.LET(_xlpm.wacc_s,(G$122+$B125*WACC!$B$7)*WACC!$B$20+(G$122+WACC!$B$11)*(1-WACC!$B$13)*WACC!$B$21+WACC!$B$25,(SUMPRODUCT($H$74:$L$74/(1+_xlpm.wacc_s)^$H$80:$L$80)+$L$74*(1+$B$86)/(_xlpm.wacc_s-$B$86)/(1+_xlpm.wacc_s)^$L$80-$B$12)/$B$8)</f>
        <v>111.91774781186291</v>
      </c>
    </row>
    <row r="126" spans="1:7" x14ac:dyDescent="0.2">
      <c r="A126" s="55"/>
      <c r="B126" s="150">
        <f>WACC!$B$6+0.1</f>
        <v>1.3</v>
      </c>
      <c r="C126" s="141" cm="1">
        <f t="array" ref="C126">_xlfn.LET(_xlpm.wacc_s,(C$122+$B126*WACC!$B$7)*WACC!$B$20+(C$122+WACC!$B$11)*(1-WACC!$B$13)*WACC!$B$21+WACC!$B$25,(SUMPRODUCT($H$74:$L$74/(1+_xlpm.wacc_s)^$H$80:$L$80)+$L$74*(1+$B$86)/(_xlpm.wacc_s-$B$86)/(1+_xlpm.wacc_s)^$L$80-$B$12)/$B$8)</f>
        <v>117.6052844874368</v>
      </c>
      <c r="D126" s="141" cm="1">
        <f t="array" ref="D126">_xlfn.LET(_xlpm.wacc_s,(D$122+$B126*WACC!$B$7)*WACC!$B$20+(D$122+WACC!$B$11)*(1-WACC!$B$13)*WACC!$B$21+WACC!$B$25,(SUMPRODUCT($H$74:$L$74/(1+_xlpm.wacc_s)^$H$80:$L$80)+$L$74*(1+$B$86)/(_xlpm.wacc_s-$B$86)/(1+_xlpm.wacc_s)^$L$80-$B$12)/$B$8)</f>
        <v>114.40750738277005</v>
      </c>
      <c r="E126" s="141" cm="1">
        <f t="array" ref="E126">_xlfn.LET(_xlpm.wacc_s,(E$122+$B126*WACC!$B$7)*WACC!$B$20+(E$122+WACC!$B$11)*(1-WACC!$B$13)*WACC!$B$21+WACC!$B$25,(SUMPRODUCT($H$74:$L$74/(1+_xlpm.wacc_s)^$H$80:$L$80)+$L$74*(1+$B$86)/(_xlpm.wacc_s-$B$86)/(1+_xlpm.wacc_s)^$L$80-$B$12)/$B$8)</f>
        <v>111.37491516129364</v>
      </c>
      <c r="F126" s="141" cm="1">
        <f t="array" ref="F126">_xlfn.LET(_xlpm.wacc_s,(F$122+$B126*WACC!$B$7)*WACC!$B$20+(F$122+WACC!$B$11)*(1-WACC!$B$13)*WACC!$B$21+WACC!$B$25,(SUMPRODUCT($H$74:$L$74/(1+_xlpm.wacc_s)^$H$80:$L$80)+$L$74*(1+$B$86)/(_xlpm.wacc_s-$B$86)/(1+_xlpm.wacc_s)^$L$80-$B$12)/$B$8)</f>
        <v>108.49516417583027</v>
      </c>
      <c r="G126" s="148" cm="1">
        <f t="array" ref="G126">_xlfn.LET(_xlpm.wacc_s,(G$122+$B126*WACC!$B$7)*WACC!$B$20+(G$122+WACC!$B$11)*(1-WACC!$B$13)*WACC!$B$21+WACC!$B$25,(SUMPRODUCT($H$74:$L$74/(1+_xlpm.wacc_s)^$H$80:$L$80)+$L$74*(1+$B$86)/(_xlpm.wacc_s-$B$86)/(1+_xlpm.wacc_s)^$L$80-$B$12)/$B$8)</f>
        <v>105.75710892445838</v>
      </c>
    </row>
    <row r="127" spans="1:7" ht="17" thickBot="1" x14ac:dyDescent="0.25">
      <c r="A127" s="56"/>
      <c r="B127" s="151">
        <f>WACC!$B$6+0.2</f>
        <v>1.4</v>
      </c>
      <c r="C127" s="146" cm="1">
        <f t="array" ref="C127">_xlfn.LET(_xlpm.wacc_s,(C$122+$B127*WACC!$B$7)*WACC!$B$20+(C$122+WACC!$B$11)*(1-WACC!$B$13)*WACC!$B$21+WACC!$B$25,(SUMPRODUCT($H$74:$L$74/(1+_xlpm.wacc_s)^$H$80:$L$80)+$L$74*(1+$B$86)/(_xlpm.wacc_s-$B$86)/(1+_xlpm.wacc_s)^$L$80-$B$12)/$B$8)</f>
        <v>110.83719105870813</v>
      </c>
      <c r="D127" s="146" cm="1">
        <f t="array" ref="D127">_xlfn.LET(_xlpm.wacc_s,(D$122+$B127*WACC!$B$7)*WACC!$B$20+(D$122+WACC!$B$11)*(1-WACC!$B$13)*WACC!$B$21+WACC!$B$25,(SUMPRODUCT($H$74:$L$74/(1+_xlpm.wacc_s)^$H$80:$L$80)+$L$74*(1+$B$86)/(_xlpm.wacc_s-$B$86)/(1+_xlpm.wacc_s)^$L$80-$B$12)/$B$8)</f>
        <v>107.98415320273035</v>
      </c>
      <c r="E127" s="146" cm="1">
        <f t="array" ref="E127">_xlfn.LET(_xlpm.wacc_s,(E$122+$B127*WACC!$B$7)*WACC!$B$20+(E$122+WACC!$B$11)*(1-WACC!$B$13)*WACC!$B$21+WACC!$B$25,(SUMPRODUCT($H$74:$L$74/(1+_xlpm.wacc_s)^$H$80:$L$80)+$L$74*(1+$B$86)/(_xlpm.wacc_s-$B$86)/(1+_xlpm.wacc_s)^$L$80-$B$12)/$B$8)</f>
        <v>105.27089088553929</v>
      </c>
      <c r="F127" s="146" cm="1">
        <f t="array" ref="F127">_xlfn.LET(_xlpm.wacc_s,(F$122+$B127*WACC!$B$7)*WACC!$B$20+(F$122+WACC!$B$11)*(1-WACC!$B$13)*WACC!$B$21+WACC!$B$25,(SUMPRODUCT($H$74:$L$74/(1+_xlpm.wacc_s)^$H$80:$L$80)+$L$74*(1+$B$86)/(_xlpm.wacc_s-$B$86)/(1+_xlpm.wacc_s)^$L$80-$B$12)/$B$8)</f>
        <v>102.68749427116654</v>
      </c>
      <c r="G127" s="149" cm="1">
        <f t="array" ref="G127">_xlfn.LET(_xlpm.wacc_s,(G$122+$B127*WACC!$B$7)*WACC!$B$20+(G$122+WACC!$B$11)*(1-WACC!$B$13)*WACC!$B$21+WACC!$B$25,(SUMPRODUCT($H$74:$L$74/(1+_xlpm.wacc_s)^$H$80:$L$80)+$L$74*(1+$B$86)/(_xlpm.wacc_s-$B$86)/(1+_xlpm.wacc_s)^$L$80-$B$12)/$B$8)</f>
        <v>100.22496709507212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928C1-EFB6-EC4A-A75E-C614803CE2EA}">
  <dimension ref="A1:C26"/>
  <sheetViews>
    <sheetView workbookViewId="0">
      <selection activeCell="H8" sqref="H8"/>
    </sheetView>
  </sheetViews>
  <sheetFormatPr baseColWidth="10" defaultRowHeight="16" x14ac:dyDescent="0.2"/>
  <cols>
    <col min="1" max="1" width="38.33203125" customWidth="1"/>
    <col min="2" max="2" width="15" customWidth="1"/>
    <col min="3" max="3" width="43.33203125" customWidth="1"/>
  </cols>
  <sheetData>
    <row r="1" spans="1:3" ht="19" x14ac:dyDescent="0.25">
      <c r="A1" s="82" t="s">
        <v>396</v>
      </c>
    </row>
    <row r="2" spans="1:3" x14ac:dyDescent="0.2">
      <c r="A2" s="83" t="s">
        <v>397</v>
      </c>
    </row>
    <row r="3" spans="1:3" ht="17" thickBot="1" x14ac:dyDescent="0.25"/>
    <row r="4" spans="1:3" x14ac:dyDescent="0.2">
      <c r="A4" s="91" t="s">
        <v>398</v>
      </c>
      <c r="B4" s="89"/>
      <c r="C4" s="94"/>
    </row>
    <row r="5" spans="1:3" x14ac:dyDescent="0.2">
      <c r="A5" s="92" t="s">
        <v>399</v>
      </c>
      <c r="B5" s="86">
        <v>5.21E-2</v>
      </c>
      <c r="C5" s="95" t="s">
        <v>417</v>
      </c>
    </row>
    <row r="6" spans="1:3" x14ac:dyDescent="0.2">
      <c r="A6" s="92" t="s">
        <v>400</v>
      </c>
      <c r="B6" s="87">
        <v>1.2</v>
      </c>
      <c r="C6" s="95" t="s">
        <v>418</v>
      </c>
    </row>
    <row r="7" spans="1:3" x14ac:dyDescent="0.2">
      <c r="A7" s="92" t="s">
        <v>401</v>
      </c>
      <c r="B7" s="86">
        <v>5.5E-2</v>
      </c>
      <c r="C7" s="95" t="s">
        <v>419</v>
      </c>
    </row>
    <row r="8" spans="1:3" ht="17" thickBot="1" x14ac:dyDescent="0.25">
      <c r="A8" s="93" t="s">
        <v>402</v>
      </c>
      <c r="B8" s="90">
        <f>B5+B6*B7</f>
        <v>0.11810000000000001</v>
      </c>
      <c r="C8" s="96"/>
    </row>
    <row r="9" spans="1:3" ht="17" thickBot="1" x14ac:dyDescent="0.25">
      <c r="B9" s="84"/>
      <c r="C9" s="85"/>
    </row>
    <row r="10" spans="1:3" x14ac:dyDescent="0.2">
      <c r="A10" s="91" t="s">
        <v>403</v>
      </c>
      <c r="B10" s="98"/>
      <c r="C10" s="99"/>
    </row>
    <row r="11" spans="1:3" x14ac:dyDescent="0.2">
      <c r="A11" s="92" t="s">
        <v>404</v>
      </c>
      <c r="B11" s="86">
        <v>6.0000000000000001E-3</v>
      </c>
      <c r="C11" s="95" t="s">
        <v>420</v>
      </c>
    </row>
    <row r="12" spans="1:3" x14ac:dyDescent="0.2">
      <c r="A12" s="92" t="s">
        <v>405</v>
      </c>
      <c r="B12" s="88">
        <f>B5+B11</f>
        <v>5.8099999999999999E-2</v>
      </c>
      <c r="C12" s="95"/>
    </row>
    <row r="13" spans="1:3" x14ac:dyDescent="0.2">
      <c r="A13" s="92" t="s">
        <v>406</v>
      </c>
      <c r="B13" s="97">
        <f>DCF!H52</f>
        <v>0.18</v>
      </c>
      <c r="C13" s="95"/>
    </row>
    <row r="14" spans="1:3" ht="17" thickBot="1" x14ac:dyDescent="0.25">
      <c r="A14" s="93" t="s">
        <v>407</v>
      </c>
      <c r="B14" s="90">
        <f>B12*(1-B13)</f>
        <v>4.7642000000000004E-2</v>
      </c>
      <c r="C14" s="96"/>
    </row>
    <row r="15" spans="1:3" ht="17" thickBot="1" x14ac:dyDescent="0.25">
      <c r="B15" s="84"/>
      <c r="C15" s="85"/>
    </row>
    <row r="16" spans="1:3" x14ac:dyDescent="0.2">
      <c r="A16" s="91" t="s">
        <v>408</v>
      </c>
      <c r="B16" s="98"/>
      <c r="C16" s="99"/>
    </row>
    <row r="17" spans="1:3" x14ac:dyDescent="0.2">
      <c r="A17" s="92" t="s">
        <v>342</v>
      </c>
      <c r="B17" s="100">
        <f>DCF!B9</f>
        <v>4356446.92</v>
      </c>
      <c r="C17" s="95"/>
    </row>
    <row r="18" spans="1:3" x14ac:dyDescent="0.2">
      <c r="A18" s="92" t="s">
        <v>409</v>
      </c>
      <c r="B18" s="100">
        <f>DCF!B10</f>
        <v>41668</v>
      </c>
      <c r="C18" s="95" t="s">
        <v>421</v>
      </c>
    </row>
    <row r="19" spans="1:3" x14ac:dyDescent="0.2">
      <c r="A19" s="92" t="s">
        <v>410</v>
      </c>
      <c r="B19" s="101">
        <f>B17+B18</f>
        <v>4398114.92</v>
      </c>
      <c r="C19" s="95"/>
    </row>
    <row r="20" spans="1:3" x14ac:dyDescent="0.2">
      <c r="A20" s="92" t="s">
        <v>411</v>
      </c>
      <c r="B20" s="88">
        <f>B17/B19</f>
        <v>0.99052594105476444</v>
      </c>
      <c r="C20" s="95"/>
    </row>
    <row r="21" spans="1:3" ht="17" thickBot="1" x14ac:dyDescent="0.25">
      <c r="A21" s="93" t="s">
        <v>412</v>
      </c>
      <c r="B21" s="90">
        <f>B18/B19</f>
        <v>9.4740589452355656E-3</v>
      </c>
      <c r="C21" s="96"/>
    </row>
    <row r="22" spans="1:3" ht="17" thickBot="1" x14ac:dyDescent="0.25">
      <c r="B22" s="84"/>
      <c r="C22" s="85"/>
    </row>
    <row r="23" spans="1:3" x14ac:dyDescent="0.2">
      <c r="A23" s="91" t="s">
        <v>413</v>
      </c>
      <c r="B23" s="98"/>
      <c r="C23" s="99"/>
    </row>
    <row r="24" spans="1:3" x14ac:dyDescent="0.2">
      <c r="A24" s="92" t="s">
        <v>414</v>
      </c>
      <c r="B24" s="88">
        <f>B20*B8+B21*B14</f>
        <v>0.1174324767548366</v>
      </c>
      <c r="C24" s="95"/>
    </row>
    <row r="25" spans="1:3" x14ac:dyDescent="0.2">
      <c r="A25" s="92" t="s">
        <v>415</v>
      </c>
      <c r="B25" s="97">
        <f>DCF!H57</f>
        <v>0</v>
      </c>
      <c r="C25" s="95" t="s">
        <v>422</v>
      </c>
    </row>
    <row r="26" spans="1:3" ht="17" thickBot="1" x14ac:dyDescent="0.25">
      <c r="A26" s="103" t="s">
        <v>416</v>
      </c>
      <c r="B26" s="102">
        <f>B24+B25</f>
        <v>0.1174324767548366</v>
      </c>
      <c r="C26" s="9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Annual Financial</vt:lpstr>
      <vt:lpstr>DCF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Heim,Jonah</dc:creator>
  <cp:lastModifiedBy>Heim, Jonah</cp:lastModifiedBy>
  <dcterms:created xsi:type="dcterms:W3CDTF">2025-10-03T15:46:28Z</dcterms:created>
  <dcterms:modified xsi:type="dcterms:W3CDTF">2026-10-14T18:57:17Z</dcterms:modified>
</cp:coreProperties>
</file>