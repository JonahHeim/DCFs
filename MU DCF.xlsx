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hheim/Downloads/"/>
    </mc:Choice>
  </mc:AlternateContent>
  <xr:revisionPtr revIDLastSave="0" documentId="13_ncr:1_{09D992A4-1C58-9547-A0F7-BF6F11EB729F}" xr6:coauthVersionLast="47" xr6:coauthVersionMax="47" xr10:uidLastSave="{00000000-0000-0000-0000-000000000000}"/>
  <bookViews>
    <workbookView xWindow="0" yWindow="660" windowWidth="29400" windowHeight="17260" activeTab="2" xr2:uid="{2ED523F7-DD53-F241-828A-87AFBE2FEF6A}"/>
  </bookViews>
  <sheets>
    <sheet name="DCF" sheetId="1" r:id="rId1"/>
    <sheet name="Executive Summary" sheetId="6" r:id="rId2"/>
    <sheet name="WACC" sheetId="2" r:id="rId3"/>
    <sheet name="Cash Flow Statement" sheetId="3" r:id="rId4"/>
    <sheet name="Income Statement" sheetId="4" r:id="rId5"/>
  </sheets>
  <externalReferences>
    <externalReference r:id="rId6"/>
  </externalReferences>
  <definedNames>
    <definedName name="tgr">[1]DCF!$E$19</definedName>
    <definedName name="wacc">[1]DCF!$E$18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C30" i="1"/>
  <c r="D52" i="1"/>
  <c r="E52" i="1"/>
  <c r="F52" i="1"/>
  <c r="C52" i="1"/>
  <c r="C11" i="3"/>
  <c r="D11" i="3"/>
  <c r="E11" i="3"/>
  <c r="F11" i="3"/>
  <c r="C49" i="1" s="1"/>
  <c r="G11" i="3"/>
  <c r="D49" i="1" s="1"/>
  <c r="H11" i="3"/>
  <c r="E49" i="1" s="1"/>
  <c r="I11" i="3"/>
  <c r="F49" i="1" s="1"/>
  <c r="B11" i="3"/>
  <c r="C5" i="1"/>
  <c r="C20" i="1"/>
  <c r="C21" i="1" s="1"/>
  <c r="D45" i="1"/>
  <c r="E45" i="1"/>
  <c r="F45" i="1"/>
  <c r="C45" i="1"/>
  <c r="E33" i="1"/>
  <c r="F33" i="1"/>
  <c r="D20" i="1"/>
  <c r="E20" i="1"/>
  <c r="F20" i="1"/>
  <c r="G20" i="1" s="1"/>
  <c r="G31" i="1" s="1"/>
  <c r="F20" i="2"/>
  <c r="F15" i="2"/>
  <c r="I15" i="3"/>
  <c r="H15" i="3"/>
  <c r="G15" i="3"/>
  <c r="G8" i="3"/>
  <c r="F36" i="3"/>
  <c r="E35" i="3"/>
  <c r="E36" i="3" s="1"/>
  <c r="F35" i="3"/>
  <c r="F24" i="3"/>
  <c r="F26" i="3"/>
  <c r="C36" i="3"/>
  <c r="D36" i="3"/>
  <c r="G36" i="3"/>
  <c r="H36" i="3"/>
  <c r="I36" i="3"/>
  <c r="B36" i="3"/>
  <c r="C26" i="3"/>
  <c r="D26" i="3"/>
  <c r="E26" i="3"/>
  <c r="G26" i="3"/>
  <c r="H26" i="3"/>
  <c r="I26" i="3"/>
  <c r="B26" i="3"/>
  <c r="I25" i="3"/>
  <c r="H25" i="3"/>
  <c r="G25" i="3"/>
  <c r="F25" i="3"/>
  <c r="E25" i="3"/>
  <c r="D25" i="3"/>
  <c r="C25" i="3"/>
  <c r="B25" i="3"/>
  <c r="C7" i="3"/>
  <c r="D7" i="3"/>
  <c r="E7" i="3"/>
  <c r="F7" i="3"/>
  <c r="C41" i="1" s="1"/>
  <c r="C42" i="1" s="1"/>
  <c r="G7" i="3"/>
  <c r="D41" i="1" s="1"/>
  <c r="H7" i="3"/>
  <c r="E41" i="1" s="1"/>
  <c r="E42" i="1" s="1"/>
  <c r="I7" i="3"/>
  <c r="F41" i="1" s="1"/>
  <c r="B7" i="3"/>
  <c r="H6" i="3"/>
  <c r="H27" i="4"/>
  <c r="H29" i="4" s="1"/>
  <c r="G14" i="4"/>
  <c r="H14" i="4"/>
  <c r="H23" i="4" s="1"/>
  <c r="H26" i="4" s="1"/>
  <c r="E55" i="1" s="1"/>
  <c r="I14" i="4"/>
  <c r="I13" i="4"/>
  <c r="I35" i="4" s="1"/>
  <c r="C13" i="4"/>
  <c r="D13" i="4"/>
  <c r="D35" i="4" s="1"/>
  <c r="E13" i="4"/>
  <c r="E35" i="4" s="1"/>
  <c r="F13" i="4"/>
  <c r="F35" i="4" s="1"/>
  <c r="G13" i="4"/>
  <c r="G35" i="4" s="1"/>
  <c r="H13" i="4"/>
  <c r="H35" i="4" s="1"/>
  <c r="B13" i="4"/>
  <c r="E20" i="4"/>
  <c r="E14" i="4"/>
  <c r="C36" i="4"/>
  <c r="D36" i="4"/>
  <c r="E36" i="4"/>
  <c r="F36" i="4"/>
  <c r="G36" i="4"/>
  <c r="H36" i="4"/>
  <c r="I36" i="4"/>
  <c r="B36" i="4"/>
  <c r="C18" i="4"/>
  <c r="D18" i="4"/>
  <c r="E18" i="4"/>
  <c r="F18" i="4"/>
  <c r="G18" i="4"/>
  <c r="H18" i="4"/>
  <c r="I18" i="4"/>
  <c r="B18" i="4"/>
  <c r="C31" i="4"/>
  <c r="D31" i="4"/>
  <c r="E31" i="4"/>
  <c r="F31" i="4"/>
  <c r="B31" i="4"/>
  <c r="C29" i="4"/>
  <c r="D29" i="4"/>
  <c r="E29" i="4"/>
  <c r="F29" i="4"/>
  <c r="B29" i="4"/>
  <c r="B35" i="4"/>
  <c r="C20" i="4"/>
  <c r="D20" i="4"/>
  <c r="F20" i="4"/>
  <c r="B20" i="4"/>
  <c r="F7" i="4"/>
  <c r="C23" i="1" s="1"/>
  <c r="C24" i="1" s="1"/>
  <c r="F9" i="4"/>
  <c r="F14" i="4"/>
  <c r="B7" i="4"/>
  <c r="B9" i="4"/>
  <c r="B14" i="4"/>
  <c r="E7" i="4"/>
  <c r="E9" i="4"/>
  <c r="C7" i="4"/>
  <c r="C9" i="4"/>
  <c r="C35" i="4"/>
  <c r="C34" i="4" s="1"/>
  <c r="C14" i="4"/>
  <c r="D14" i="4"/>
  <c r="D9" i="4"/>
  <c r="G9" i="4"/>
  <c r="H9" i="4"/>
  <c r="I9" i="4"/>
  <c r="D7" i="4"/>
  <c r="G7" i="4"/>
  <c r="D23" i="1" s="1"/>
  <c r="H7" i="4"/>
  <c r="E23" i="1" s="1"/>
  <c r="I7" i="4"/>
  <c r="F23" i="1" s="1"/>
  <c r="A2" i="4" a="1"/>
  <c r="A2" i="3" a="1"/>
  <c r="F10" i="2" a="1"/>
  <c r="H31" i="4" l="1"/>
  <c r="D34" i="4"/>
  <c r="D27" i="1"/>
  <c r="D28" i="1" s="1"/>
  <c r="C33" i="1"/>
  <c r="C34" i="1" s="1"/>
  <c r="C31" i="1"/>
  <c r="F31" i="1"/>
  <c r="D33" i="1"/>
  <c r="D34" i="1" s="1"/>
  <c r="E31" i="1"/>
  <c r="D31" i="1"/>
  <c r="F42" i="1"/>
  <c r="E27" i="1"/>
  <c r="E28" i="1" s="1"/>
  <c r="F27" i="1"/>
  <c r="F28" i="1" s="1"/>
  <c r="C27" i="1"/>
  <c r="C28" i="1" s="1"/>
  <c r="G23" i="1"/>
  <c r="C50" i="1"/>
  <c r="F50" i="1"/>
  <c r="D42" i="1"/>
  <c r="E50" i="1"/>
  <c r="G52" i="1"/>
  <c r="D50" i="1"/>
  <c r="H20" i="1"/>
  <c r="G45" i="1"/>
  <c r="G46" i="1" s="1"/>
  <c r="G49" i="1"/>
  <c r="G41" i="1"/>
  <c r="G42" i="1" s="1"/>
  <c r="E46" i="1"/>
  <c r="E57" i="1"/>
  <c r="F46" i="1"/>
  <c r="D47" i="1"/>
  <c r="F34" i="1"/>
  <c r="C43" i="1"/>
  <c r="F43" i="1"/>
  <c r="C47" i="1"/>
  <c r="C46" i="1"/>
  <c r="E47" i="1"/>
  <c r="F47" i="1"/>
  <c r="E43" i="1"/>
  <c r="D46" i="1"/>
  <c r="D43" i="1"/>
  <c r="E24" i="1"/>
  <c r="F21" i="1"/>
  <c r="F24" i="1"/>
  <c r="E21" i="1"/>
  <c r="D21" i="1"/>
  <c r="D25" i="1"/>
  <c r="F25" i="1"/>
  <c r="D24" i="1"/>
  <c r="E25" i="1"/>
  <c r="C25" i="1"/>
  <c r="C35" i="1"/>
  <c r="E35" i="1"/>
  <c r="F35" i="1"/>
  <c r="A2" i="4"/>
  <c r="A2" i="3"/>
  <c r="F10" i="2"/>
  <c r="H17" i="3"/>
  <c r="B34" i="4"/>
  <c r="I34" i="4"/>
  <c r="F37" i="1" s="1"/>
  <c r="F38" i="1" s="1"/>
  <c r="G34" i="4"/>
  <c r="D37" i="1" s="1"/>
  <c r="D38" i="1" s="1"/>
  <c r="H34" i="4"/>
  <c r="E37" i="1" s="1"/>
  <c r="E38" i="1" s="1"/>
  <c r="F34" i="4"/>
  <c r="C37" i="1" s="1"/>
  <c r="E34" i="4"/>
  <c r="F23" i="4"/>
  <c r="F26" i="4" s="1"/>
  <c r="G23" i="4"/>
  <c r="G26" i="4" s="1"/>
  <c r="D23" i="4"/>
  <c r="D26" i="4" s="1"/>
  <c r="D6" i="3" s="1"/>
  <c r="D17" i="3" s="1"/>
  <c r="I23" i="4"/>
  <c r="I26" i="4" s="1"/>
  <c r="B23" i="4"/>
  <c r="B26" i="4" s="1"/>
  <c r="B6" i="3" s="1"/>
  <c r="B17" i="3" s="1"/>
  <c r="C23" i="4"/>
  <c r="E23" i="4"/>
  <c r="E26" i="4" s="1"/>
  <c r="E6" i="3" s="1"/>
  <c r="E17" i="3" s="1"/>
  <c r="F39" i="1" l="1"/>
  <c r="C26" i="4"/>
  <c r="C6" i="3" s="1"/>
  <c r="C17" i="3" s="1"/>
  <c r="E39" i="1"/>
  <c r="E34" i="1"/>
  <c r="F6" i="3"/>
  <c r="F17" i="3" s="1"/>
  <c r="F40" i="3" s="1"/>
  <c r="C55" i="1"/>
  <c r="D39" i="1"/>
  <c r="I27" i="4"/>
  <c r="F55" i="1"/>
  <c r="I6" i="3"/>
  <c r="I17" i="3" s="1"/>
  <c r="D35" i="1"/>
  <c r="D55" i="1"/>
  <c r="G6" i="3"/>
  <c r="G17" i="3" s="1"/>
  <c r="G40" i="3" s="1"/>
  <c r="G27" i="4"/>
  <c r="C38" i="1"/>
  <c r="C39" i="1"/>
  <c r="H30" i="1"/>
  <c r="G27" i="1"/>
  <c r="G28" i="1" s="1"/>
  <c r="G33" i="1"/>
  <c r="G37" i="1" s="1"/>
  <c r="G24" i="1"/>
  <c r="H23" i="1"/>
  <c r="H24" i="1" s="1"/>
  <c r="H45" i="1"/>
  <c r="H46" i="1" s="1"/>
  <c r="H49" i="1"/>
  <c r="H41" i="1"/>
  <c r="H42" i="1" s="1"/>
  <c r="I20" i="1"/>
  <c r="H52" i="1"/>
  <c r="F13" i="2"/>
  <c r="F25" i="2" s="1"/>
  <c r="F21" i="2" s="1"/>
  <c r="C6" i="1"/>
  <c r="C7" i="1" s="1"/>
  <c r="B39" i="3"/>
  <c r="B40" i="3"/>
  <c r="B41" i="3" s="1"/>
  <c r="B42" i="3" s="1"/>
  <c r="D39" i="3"/>
  <c r="D40" i="3"/>
  <c r="D41" i="3" s="1"/>
  <c r="D42" i="3" s="1"/>
  <c r="H39" i="3"/>
  <c r="H40" i="3"/>
  <c r="I40" i="3"/>
  <c r="I39" i="3"/>
  <c r="E40" i="3"/>
  <c r="E41" i="3" s="1"/>
  <c r="E42" i="3" s="1"/>
  <c r="E39" i="3"/>
  <c r="C39" i="3" l="1"/>
  <c r="C40" i="3"/>
  <c r="C41" i="3" s="1"/>
  <c r="C42" i="3" s="1"/>
  <c r="I31" i="4"/>
  <c r="I29" i="4"/>
  <c r="C56" i="1"/>
  <c r="C57" i="1"/>
  <c r="D56" i="1"/>
  <c r="E56" i="1"/>
  <c r="D57" i="1"/>
  <c r="F39" i="3"/>
  <c r="G29" i="4"/>
  <c r="G31" i="4"/>
  <c r="G39" i="3"/>
  <c r="F57" i="1"/>
  <c r="F56" i="1"/>
  <c r="G34" i="1"/>
  <c r="G55" i="1"/>
  <c r="I30" i="1"/>
  <c r="H33" i="1"/>
  <c r="H37" i="1" s="1"/>
  <c r="H39" i="1" s="1"/>
  <c r="H27" i="1"/>
  <c r="H28" i="1" s="1"/>
  <c r="I52" i="1"/>
  <c r="J20" i="1"/>
  <c r="J30" i="1" s="1"/>
  <c r="I41" i="1"/>
  <c r="I42" i="1" s="1"/>
  <c r="I23" i="1"/>
  <c r="I24" i="1" s="1"/>
  <c r="I49" i="1"/>
  <c r="I45" i="1"/>
  <c r="I46" i="1" s="1"/>
  <c r="G39" i="1"/>
  <c r="G38" i="1"/>
  <c r="G41" i="3"/>
  <c r="G42" i="3" s="1"/>
  <c r="D59" i="1"/>
  <c r="I41" i="3"/>
  <c r="I42" i="3" s="1"/>
  <c r="F59" i="1"/>
  <c r="H41" i="3"/>
  <c r="H42" i="3" s="1"/>
  <c r="E59" i="1"/>
  <c r="F41" i="3"/>
  <c r="F42" i="3" s="1"/>
  <c r="C59" i="1"/>
  <c r="F14" i="2"/>
  <c r="F27" i="2" s="1"/>
  <c r="C13" i="1" s="1"/>
  <c r="I33" i="1" l="1"/>
  <c r="I55" i="1" s="1"/>
  <c r="I59" i="1" s="1"/>
  <c r="G56" i="1"/>
  <c r="G59" i="1"/>
  <c r="G61" i="1" s="1"/>
  <c r="G57" i="1"/>
  <c r="H55" i="1"/>
  <c r="H34" i="1"/>
  <c r="H38" i="1"/>
  <c r="I27" i="1"/>
  <c r="I28" i="1" s="1"/>
  <c r="G68" i="1"/>
  <c r="G66" i="1" s="1"/>
  <c r="L68" i="1"/>
  <c r="M68" i="1"/>
  <c r="J68" i="1"/>
  <c r="K68" i="1"/>
  <c r="H68" i="1"/>
  <c r="I68" i="1"/>
  <c r="J45" i="1"/>
  <c r="J46" i="1" s="1"/>
  <c r="J23" i="1"/>
  <c r="J41" i="1"/>
  <c r="J42" i="1" s="1"/>
  <c r="K20" i="1"/>
  <c r="K30" i="1" s="1"/>
  <c r="J52" i="1"/>
  <c r="J49" i="1"/>
  <c r="I37" i="1"/>
  <c r="F60" i="1"/>
  <c r="C60" i="1"/>
  <c r="C61" i="1"/>
  <c r="E60" i="1"/>
  <c r="E61" i="1"/>
  <c r="D61" i="1"/>
  <c r="D60" i="1"/>
  <c r="F61" i="1"/>
  <c r="I34" i="1" l="1"/>
  <c r="H57" i="1"/>
  <c r="H59" i="1"/>
  <c r="H56" i="1"/>
  <c r="G60" i="1"/>
  <c r="J24" i="1"/>
  <c r="J33" i="1"/>
  <c r="J55" i="1" s="1"/>
  <c r="J59" i="1" s="1"/>
  <c r="J66" i="1" s="1"/>
  <c r="J27" i="1"/>
  <c r="J28" i="1" s="1"/>
  <c r="I66" i="1"/>
  <c r="I60" i="1"/>
  <c r="I61" i="1"/>
  <c r="I57" i="1"/>
  <c r="I56" i="1"/>
  <c r="I38" i="1"/>
  <c r="I39" i="1"/>
  <c r="K23" i="1"/>
  <c r="K49" i="1"/>
  <c r="L20" i="1"/>
  <c r="L30" i="1" s="1"/>
  <c r="K52" i="1"/>
  <c r="K41" i="1"/>
  <c r="K42" i="1" s="1"/>
  <c r="K45" i="1"/>
  <c r="K46" i="1" s="1"/>
  <c r="J34" i="1" l="1"/>
  <c r="J37" i="1"/>
  <c r="J38" i="1" s="1"/>
  <c r="H61" i="1"/>
  <c r="H60" i="1"/>
  <c r="H66" i="1"/>
  <c r="K24" i="1"/>
  <c r="K33" i="1"/>
  <c r="K34" i="1" s="1"/>
  <c r="K27" i="1"/>
  <c r="K28" i="1" s="1"/>
  <c r="J60" i="1"/>
  <c r="J61" i="1"/>
  <c r="L49" i="1"/>
  <c r="L52" i="1"/>
  <c r="L45" i="1"/>
  <c r="L46" i="1" s="1"/>
  <c r="M20" i="1"/>
  <c r="M30" i="1" s="1"/>
  <c r="L41" i="1"/>
  <c r="L42" i="1" s="1"/>
  <c r="L23" i="1"/>
  <c r="J56" i="1"/>
  <c r="J57" i="1"/>
  <c r="J39" i="1"/>
  <c r="K55" i="1" l="1"/>
  <c r="K59" i="1" s="1"/>
  <c r="K66" i="1" s="1"/>
  <c r="K37" i="1"/>
  <c r="L24" i="1"/>
  <c r="L33" i="1"/>
  <c r="L37" i="1" s="1"/>
  <c r="L27" i="1"/>
  <c r="L28" i="1" s="1"/>
  <c r="K60" i="1"/>
  <c r="K61" i="1"/>
  <c r="M45" i="1"/>
  <c r="M46" i="1" s="1"/>
  <c r="M41" i="1"/>
  <c r="M42" i="1" s="1"/>
  <c r="M52" i="1"/>
  <c r="M23" i="1"/>
  <c r="M49" i="1"/>
  <c r="K38" i="1"/>
  <c r="K39" i="1"/>
  <c r="K56" i="1"/>
  <c r="K57" i="1"/>
  <c r="L34" i="1" l="1"/>
  <c r="L55" i="1"/>
  <c r="L59" i="1" s="1"/>
  <c r="L66" i="1" s="1"/>
  <c r="M24" i="1"/>
  <c r="M33" i="1"/>
  <c r="M34" i="1" s="1"/>
  <c r="M27" i="1"/>
  <c r="M28" i="1" s="1"/>
  <c r="L60" i="1"/>
  <c r="L61" i="1"/>
  <c r="L56" i="1"/>
  <c r="L57" i="1"/>
  <c r="L38" i="1"/>
  <c r="L39" i="1"/>
  <c r="M37" i="1" l="1"/>
  <c r="M55" i="1"/>
  <c r="M59" i="1" s="1"/>
  <c r="M66" i="1"/>
  <c r="C69" i="1" s="1"/>
  <c r="C67" i="1"/>
  <c r="C70" i="1" s="1"/>
  <c r="M60" i="1"/>
  <c r="M61" i="1"/>
  <c r="M56" i="1"/>
  <c r="M57" i="1"/>
  <c r="M38" i="1"/>
  <c r="M39" i="1"/>
  <c r="C71" i="1" l="1"/>
  <c r="G7" i="1" s="1"/>
  <c r="C72" i="1" l="1"/>
  <c r="C73" i="1" s="1"/>
  <c r="G4" i="1" s="1"/>
  <c r="G5" i="1" s="1"/>
  <c r="G8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<sst xmlns="http://schemas.openxmlformats.org/spreadsheetml/2006/main" count="205" uniqueCount="166">
  <si>
    <t>MU</t>
  </si>
  <si>
    <t xml:space="preserve">% Growth </t>
  </si>
  <si>
    <t xml:space="preserve">EBIT </t>
  </si>
  <si>
    <t>Tax Rate</t>
  </si>
  <si>
    <t xml:space="preserve">Capex </t>
  </si>
  <si>
    <t>% Of Revenue</t>
  </si>
  <si>
    <t>WACC = % of equity x cost of equity + % of debt x cost of debt x (1 - Tax Rate)</t>
  </si>
  <si>
    <t>Cost of equity = Risk free rate + Beta x Market Risk Premium</t>
  </si>
  <si>
    <t>WACC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</si>
  <si>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</si>
  <si>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</si>
  <si>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</si>
  <si>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</si>
  <si>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</si>
  <si>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</si>
  <si>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</si>
  <si>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</si>
  <si>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</si>
  <si>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Total</t>
  </si>
  <si>
    <t>Cost of Goods Sold (COGS) incl. D&amp;A</t>
  </si>
  <si>
    <t>COGS excluding D&amp;A</t>
  </si>
  <si>
    <t>Depreciation &amp; Amortization Expense</t>
  </si>
  <si>
    <t>Gross Income</t>
  </si>
  <si>
    <t>SG&amp;A Expense</t>
  </si>
  <si>
    <t>Research &amp; Development</t>
  </si>
  <si>
    <t>EBIT (Operating Income)</t>
  </si>
  <si>
    <t>Nonoperating Income - Net</t>
  </si>
  <si>
    <t>Nonoperating Interest Income</t>
  </si>
  <si>
    <t>Other Income (Expense)</t>
  </si>
  <si>
    <t>Interest Expense</t>
  </si>
  <si>
    <t>Gross Interest Expense</t>
  </si>
  <si>
    <t>Unusual Expense - Net</t>
  </si>
  <si>
    <t>Unrealized Valuation Gain/Loss</t>
  </si>
  <si>
    <t>Investments</t>
  </si>
  <si>
    <t>Hedges/Derivatives</t>
  </si>
  <si>
    <t>Pretax Income</t>
  </si>
  <si>
    <t>Net Income</t>
  </si>
  <si>
    <t>Net Income available to Common</t>
  </si>
  <si>
    <t>Per Share</t>
  </si>
  <si>
    <t>EPS (basic)</t>
  </si>
  <si>
    <t>Basic Shares Outstanding</t>
  </si>
  <si>
    <t>EPS (diluted)</t>
  </si>
  <si>
    <t>Diluted Shares Outstanding</t>
  </si>
  <si>
    <t>EBITDA</t>
  </si>
  <si>
    <t>EBIT</t>
  </si>
  <si>
    <t>All figures in millions of U.S. Dollar except per share items.</t>
  </si>
  <si>
    <t>Revenue</t>
  </si>
  <si>
    <t xml:space="preserve">Micron Technology, Inc.    Ticker Mu </t>
  </si>
  <si>
    <t>AUG '18</t>
  </si>
  <si>
    <t>AUG '19</t>
  </si>
  <si>
    <t>AUG '20</t>
  </si>
  <si>
    <t>AUG '21</t>
  </si>
  <si>
    <t>AUG '22</t>
  </si>
  <si>
    <t>AUG '23</t>
  </si>
  <si>
    <t>AUG '24</t>
  </si>
  <si>
    <t>AUG '25</t>
  </si>
  <si>
    <t>Operating Activities</t>
  </si>
  <si>
    <t>Net Income / Starting Line</t>
  </si>
  <si>
    <t>Depreciation, Depletion &amp; Amortization</t>
  </si>
  <si>
    <t>Changes in Working Capital</t>
  </si>
  <si>
    <t>Receivables</t>
  </si>
  <si>
    <t>Inventories</t>
  </si>
  <si>
    <t>Accounts Payable</t>
  </si>
  <si>
    <t>Net Operating Cash Flow</t>
  </si>
  <si>
    <t>Investing Activities</t>
  </si>
  <si>
    <t>Capital Expenditures</t>
  </si>
  <si>
    <t>Purchase/Sale of Investments</t>
  </si>
  <si>
    <t>Sale/Maturity of Investments</t>
  </si>
  <si>
    <t>Net Investing Cash Flow</t>
  </si>
  <si>
    <t>Financing Activities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</si>
  <si>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</si>
  <si>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</si>
  <si>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</si>
  <si>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</si>
  <si>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</si>
  <si>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</si>
  <si>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</si>
  <si>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Other Operating Expense</t>
  </si>
  <si>
    <t>Income tax (provision) benefit</t>
  </si>
  <si>
    <t>Micron Technology, Inc.    Ticker MU</t>
  </si>
  <si>
    <t>Equity in net income (loss) of equity method investees</t>
  </si>
  <si>
    <t>DCF</t>
  </si>
  <si>
    <t>TGR</t>
  </si>
  <si>
    <t>Terminal Value</t>
  </si>
  <si>
    <t xml:space="preserve">Stock Based Comp </t>
  </si>
  <si>
    <t>(Gains) losses on debt prepayments, repurchases, and conversions</t>
  </si>
  <si>
    <t>Other</t>
  </si>
  <si>
    <t xml:space="preserve">Defferred income Taxes net </t>
  </si>
  <si>
    <t>Proceeds from sales of available-for-sale securities</t>
  </si>
  <si>
    <t xml:space="preserve">        Proceeds from maturities of available-for-sale securities</t>
  </si>
  <si>
    <t xml:space="preserve">        Proceeds from government incentives</t>
  </si>
  <si>
    <t xml:space="preserve">        Other</t>
  </si>
  <si>
    <t>Repayments Of Debt</t>
  </si>
  <si>
    <t>Acquisition of noncontrolling intrest in IMFT</t>
  </si>
  <si>
    <t xml:space="preserve">Payments to acquire treasury stock </t>
  </si>
  <si>
    <t>Payment on equipment purchase contracts</t>
  </si>
  <si>
    <t>Proceads From Issuance of Debt</t>
  </si>
  <si>
    <t xml:space="preserve">Proceads From Issuance of Stock </t>
  </si>
  <si>
    <t xml:space="preserve">Other </t>
  </si>
  <si>
    <t xml:space="preserve">Weighted Average Sheres Outstanding </t>
  </si>
  <si>
    <t xml:space="preserve">      Other Funds </t>
  </si>
  <si>
    <t xml:space="preserve">Payments Of Dividends to Shareholders </t>
  </si>
  <si>
    <t xml:space="preserve">Shere Price </t>
  </si>
  <si>
    <t xml:space="preserve">Ticker </t>
  </si>
  <si>
    <t xml:space="preserve">Date </t>
  </si>
  <si>
    <t xml:space="preserve">End Of Year </t>
  </si>
  <si>
    <t xml:space="preserve">Asssumptions </t>
  </si>
  <si>
    <t xml:space="preserve">Financials </t>
  </si>
  <si>
    <t>FY AUG</t>
  </si>
  <si>
    <t>2024A</t>
  </si>
  <si>
    <t>2025A</t>
  </si>
  <si>
    <t>2022A</t>
  </si>
  <si>
    <t>2023A</t>
  </si>
  <si>
    <t xml:space="preserve">2026E </t>
  </si>
  <si>
    <t>2027E</t>
  </si>
  <si>
    <t>2028E</t>
  </si>
  <si>
    <t>2029E</t>
  </si>
  <si>
    <t>2030E</t>
  </si>
  <si>
    <t>2031E</t>
  </si>
  <si>
    <t>2032E</t>
  </si>
  <si>
    <t>COGS Excluding D&amp;A</t>
  </si>
  <si>
    <t xml:space="preserve">EBITDA </t>
  </si>
  <si>
    <t xml:space="preserve">Net Income </t>
  </si>
  <si>
    <t xml:space="preserve">D&amp;A </t>
  </si>
  <si>
    <t>% Growth 
% Of Revenue</t>
  </si>
  <si>
    <t xml:space="preserve">% Of Revenue </t>
  </si>
  <si>
    <t xml:space="preserve">Free Cash Flow </t>
  </si>
  <si>
    <t xml:space="preserve">Sheres Outstanding </t>
  </si>
  <si>
    <t xml:space="preserve">Market Cap </t>
  </si>
  <si>
    <t xml:space="preserve">Changes In Working capital </t>
  </si>
  <si>
    <t xml:space="preserve">% EffectiveTax Rate </t>
  </si>
  <si>
    <t xml:space="preserve">Discount Facter </t>
  </si>
  <si>
    <t xml:space="preserve">PV </t>
  </si>
  <si>
    <t xml:space="preserve">PV  OF All FCFS </t>
  </si>
  <si>
    <t xml:space="preserve">Enterprise Value </t>
  </si>
  <si>
    <t xml:space="preserve">Equity Value </t>
  </si>
  <si>
    <t xml:space="preserve">Implied Share Price </t>
  </si>
  <si>
    <t xml:space="preserve">Valuation  </t>
  </si>
  <si>
    <t xml:space="preserve">Disounted Cash Flow </t>
  </si>
  <si>
    <t xml:space="preserve">Implied Shere Price </t>
  </si>
  <si>
    <t xml:space="preserve">Upside/Downside </t>
  </si>
  <si>
    <t xml:space="preserve">Gross Profit </t>
  </si>
  <si>
    <t xml:space="preserve">% Profit Margin </t>
  </si>
  <si>
    <t xml:space="preserve">OpEx </t>
  </si>
  <si>
    <t xml:space="preserve">This valuation, while aggressive relative to the consensus median, is firmly supported by the structural scarcity of High-Bandwidth Memory (HBM), the unprecedented operating leverage </t>
  </si>
  <si>
    <t>inherent in the current "Supercycle," and a convergence of bullish institutional research from firms such as Rosenblatt Securities and Morgan Stanley.</t>
  </si>
  <si>
    <t>Far from a "blue sky" estimate, this figure is grounded in the hard reality of the "Memory Wall."</t>
  </si>
  <si>
    <t>Defending the $390 Intrinsic Value of Micron Technology</t>
  </si>
  <si>
    <t>This transforms the company’s near-term revenue profile from a variable spot-market guess into a fixed annuity.</t>
  </si>
  <si>
    <t xml:space="preserve">The model’s revenue assumption perfectly aligns with management’s guidance and the consensus view that the displacement of commodity DDR5 capacity for HBM manufacturing will create </t>
  </si>
  <si>
    <t>a "double engine" of pricing power—lifting prices for both premium AI memory and standard server DRAM.</t>
  </si>
  <si>
    <t xml:space="preserve">Rosenblatt analyst Kevin Cassidy explicitly points to "newly negotiated DRAM and NAND prices" and "continued cost declines" as catalysts that could drive Earnings Per Share (EPS) toward $40. </t>
  </si>
  <si>
    <t>By modeling a lean OpEx structure, the DCF correctly captures this earnings explosion, which the broader market is still slow to price in.</t>
  </si>
  <si>
    <t>By pairing a "bearish" discount rate with "bullish" cash flows, the model demonstrates that Micron is undervalued even under strict risk parameters.</t>
  </si>
  <si>
    <r>
      <t>Executive Summary</t>
    </r>
    <r>
      <rPr>
        <sz val="14"/>
        <color theme="1"/>
        <rFont val="Aptos Narrow"/>
        <scheme val="minor"/>
      </rPr>
      <t xml:space="preserve"> In the wake of the artificial intelligence infrastructure boom, the semiconductor memory sector has decoupled from its historical commodity cycles.</t>
    </r>
  </si>
  <si>
    <r>
      <t xml:space="preserve">A rigorous Discounted Cash Flow (DCF) analysis of Micron Technology (MU) reveals an intrinsic value of </t>
    </r>
    <r>
      <rPr>
        <b/>
        <sz val="14"/>
        <color theme="1"/>
        <rFont val="Aptos Narrow"/>
        <scheme val="minor"/>
      </rPr>
      <t>$390.14 per share</t>
    </r>
    <r>
      <rPr>
        <sz val="14"/>
        <color theme="1"/>
        <rFont val="Aptos Narrow"/>
        <scheme val="minor"/>
      </rPr>
      <t>, implying an upside of approximately 32% from current trading levels (~$294).</t>
    </r>
  </si>
  <si>
    <r>
      <t>The Revenue Imperative: Sold Out Through 2026</t>
    </r>
    <r>
      <rPr>
        <sz val="14"/>
        <color theme="1"/>
        <rFont val="Aptos Narrow"/>
        <scheme val="minor"/>
      </rPr>
      <t xml:space="preserve"> The cornerstone of this valuation is the projection of </t>
    </r>
    <r>
      <rPr>
        <b/>
        <sz val="14"/>
        <color theme="1"/>
        <rFont val="Aptos Narrow"/>
        <scheme val="minor"/>
      </rPr>
      <t>$73.8 billion</t>
    </r>
    <r>
      <rPr>
        <sz val="14"/>
        <color theme="1"/>
        <rFont val="Aptos Narrow"/>
        <scheme val="minor"/>
      </rPr>
      <t xml:space="preserve"> in FY2026 revenue.</t>
    </r>
  </si>
  <si>
    <r>
      <t xml:space="preserve">As noted by </t>
    </r>
    <r>
      <rPr>
        <b/>
        <sz val="14"/>
        <color theme="1"/>
        <rFont val="Aptos Narrow"/>
        <scheme val="minor"/>
      </rPr>
      <t>Bank of America</t>
    </r>
    <r>
      <rPr>
        <sz val="14"/>
        <color theme="1"/>
        <rFont val="Aptos Narrow"/>
        <scheme val="minor"/>
      </rPr>
      <t xml:space="preserve"> analysts in their December 2025 notes, Micron’s entire HBM production capacity is officially sold out through the end of calendar year 2026.</t>
    </r>
  </si>
  <si>
    <r>
      <t>The Profitability Engine: The "Rosenblatt" Scenario</t>
    </r>
    <r>
      <rPr>
        <sz val="14"/>
        <color theme="1"/>
        <rFont val="Aptos Narrow"/>
        <scheme val="minor"/>
      </rPr>
      <t xml:space="preserve"> The most critical driver of the $390 valuation is the assumption of radical operating leverage—specifically, holding Operating Expenses (OpEx) near </t>
    </r>
    <r>
      <rPr>
        <b/>
        <sz val="14"/>
        <color theme="1"/>
        <rFont val="Aptos Narrow"/>
        <scheme val="minor"/>
      </rPr>
      <t>$6.0 billion</t>
    </r>
    <r>
      <rPr>
        <sz val="14"/>
        <color theme="1"/>
        <rFont val="Aptos Narrow"/>
        <scheme val="minor"/>
      </rPr>
      <t xml:space="preserve"> while revenue doubles.</t>
    </r>
  </si>
  <si>
    <r>
      <t xml:space="preserve">Skeptics arguing for linear cost scaling are misinterpreting the economics of the 1-beta and 1-gamma nodes. This "fixed cost" thesis is validated by </t>
    </r>
    <r>
      <rPr>
        <b/>
        <sz val="14"/>
        <color theme="1"/>
        <rFont val="Aptos Narrow"/>
        <scheme val="minor"/>
      </rPr>
      <t>Rosenblatt Securities</t>
    </r>
    <r>
      <rPr>
        <sz val="14"/>
        <color theme="1"/>
        <rFont val="Aptos Narrow"/>
        <scheme val="minor"/>
      </rPr>
      <t xml:space="preserve">, who recently raised their price target to </t>
    </r>
    <r>
      <rPr>
        <b/>
        <sz val="14"/>
        <color theme="1"/>
        <rFont val="Aptos Narrow"/>
        <scheme val="minor"/>
      </rPr>
      <t>$500</t>
    </r>
    <r>
      <rPr>
        <sz val="14"/>
        <color theme="1"/>
        <rFont val="Aptos Narrow"/>
        <scheme val="minor"/>
      </rPr>
      <t xml:space="preserve">, citing the potential for gross margins to hit a record </t>
    </r>
    <r>
      <rPr>
        <b/>
        <sz val="14"/>
        <color theme="1"/>
        <rFont val="Aptos Narrow"/>
        <scheme val="minor"/>
      </rPr>
      <t>68%</t>
    </r>
    <r>
      <rPr>
        <sz val="14"/>
        <color theme="1"/>
        <rFont val="Aptos Narrow"/>
        <scheme val="minor"/>
      </rPr>
      <t>.</t>
    </r>
  </si>
  <si>
    <r>
      <t>Valuation &amp; Risk: The Morgan Stanley Safety Net</t>
    </r>
    <r>
      <rPr>
        <sz val="14"/>
        <color theme="1"/>
        <rFont val="Aptos Narrow"/>
        <scheme val="minor"/>
      </rPr>
      <t xml:space="preserve"> Critically, this model arrives at a $390 target not by ignoring risk, but by embracing it.</t>
    </r>
  </si>
  <si>
    <r>
      <t xml:space="preserve">The valuation utilizes a punitive </t>
    </r>
    <r>
      <rPr>
        <b/>
        <sz val="14"/>
        <color theme="1"/>
        <rFont val="Aptos Narrow"/>
        <scheme val="minor"/>
      </rPr>
      <t>11.49% Weighted Average Cost of Capital (WACC)</t>
    </r>
    <r>
      <rPr>
        <sz val="14"/>
        <color theme="1"/>
        <rFont val="Aptos Narrow"/>
        <scheme val="minor"/>
      </rPr>
      <t>, significantly higher than the 9.5% used by many "Street" bulls. This conservative discount rate acts as a margin of safety.</t>
    </r>
  </si>
  <si>
    <r>
      <t xml:space="preserve">As </t>
    </r>
    <r>
      <rPr>
        <b/>
        <sz val="14"/>
        <color theme="1"/>
        <rFont val="Aptos Narrow"/>
        <scheme val="minor"/>
      </rPr>
      <t>Morgan Stanley</t>
    </r>
    <r>
      <rPr>
        <sz val="14"/>
        <color theme="1"/>
        <rFont val="Aptos Narrow"/>
        <scheme val="minor"/>
      </rPr>
      <t xml:space="preserve"> analysts noted in their December upgrade to a </t>
    </r>
    <r>
      <rPr>
        <b/>
        <sz val="14"/>
        <color theme="1"/>
        <rFont val="Aptos Narrow"/>
        <scheme val="minor"/>
      </rPr>
      <t>$350</t>
    </r>
    <r>
      <rPr>
        <sz val="14"/>
        <color theme="1"/>
        <rFont val="Aptos Narrow"/>
        <scheme val="minor"/>
      </rPr>
      <t xml:space="preserve"> target, "as long as the AI music plays, we believe this [earnings beat] is going to keep happening."</t>
    </r>
  </si>
  <si>
    <r>
      <t>Conclusion</t>
    </r>
    <r>
      <rPr>
        <sz val="14"/>
        <color theme="1"/>
        <rFont val="Aptos Narrow"/>
        <scheme val="minor"/>
      </rPr>
      <t xml:space="preserve"> The market is currently pricing Micron as a cyclical manufacturer at the peak of a standard boom. However, the data supports the thesis that Micron has evolved into a secular infrastructure monopoly.</t>
    </r>
  </si>
  <si>
    <r>
      <t xml:space="preserve">With </t>
    </r>
    <r>
      <rPr>
        <b/>
        <sz val="14"/>
        <color theme="1"/>
        <rFont val="Aptos Narrow"/>
        <scheme val="minor"/>
      </rPr>
      <t>UBS</t>
    </r>
    <r>
      <rPr>
        <sz val="14"/>
        <color theme="1"/>
        <rFont val="Aptos Narrow"/>
        <scheme val="minor"/>
      </rPr>
      <t xml:space="preserve"> raising targets to $300 and </t>
    </r>
    <r>
      <rPr>
        <b/>
        <sz val="14"/>
        <color theme="1"/>
        <rFont val="Aptos Narrow"/>
        <scheme val="minor"/>
      </rPr>
      <t>Rosenblatt</t>
    </r>
    <r>
      <rPr>
        <sz val="14"/>
        <color theme="1"/>
        <rFont val="Aptos Narrow"/>
        <scheme val="minor"/>
      </rPr>
      <t xml:space="preserve"> defending $500, the model’s </t>
    </r>
    <r>
      <rPr>
        <b/>
        <sz val="14"/>
        <color theme="1"/>
        <rFont val="Aptos Narrow"/>
        <scheme val="minor"/>
      </rPr>
      <t>$390.14</t>
    </r>
    <r>
      <rPr>
        <sz val="14"/>
        <color theme="1"/>
        <rFont val="Aptos Narrow"/>
        <scheme val="minor"/>
      </rPr>
      <t xml:space="preserve"> output represents a rational midpoint </t>
    </r>
  </si>
  <si>
    <t>It is a conservative bull case that acknowledges the risks while refusing to ignore the mathematical reality of the AI Supercycle.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</si>
</sst>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0"/>
      <name val="Aptos Narrow"/>
      <scheme val="minor"/>
    </font>
    <font>
      <sz val="12"/>
      <color theme="0"/>
      <name val="Aptos Narrow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3366"/>
      <name val="Arial"/>
      <family val="2"/>
    </font>
    <font>
      <sz val="12"/>
      <color rgb="FF646464"/>
      <name val="Arial"/>
      <family val="2"/>
    </font>
    <font>
      <b/>
      <sz val="12"/>
      <color rgb="FF000000"/>
      <name val="Arial"/>
      <family val="2"/>
    </font>
    <font>
      <sz val="8"/>
      <name val="Aptos Narrow"/>
      <family val="2"/>
      <scheme val="minor"/>
    </font>
    <font>
      <sz val="12"/>
      <color theme="0"/>
      <name val="Arial"/>
      <family val="2"/>
    </font>
    <font>
      <sz val="12"/>
      <color rgb="FF000000"/>
      <name val="Arial Narrow"/>
      <family val="2"/>
    </font>
    <font>
      <sz val="14"/>
      <color theme="1"/>
      <name val="Aptos Narrow"/>
      <scheme val="minor"/>
    </font>
    <font>
      <b/>
      <i/>
      <sz val="14"/>
      <color theme="0"/>
      <name val="Aptos Narrow"/>
      <scheme val="minor"/>
    </font>
    <font>
      <sz val="14"/>
      <color theme="9"/>
      <name val="Aptos Narrow"/>
      <scheme val="minor"/>
    </font>
    <font>
      <strike/>
      <sz val="14"/>
      <color theme="1"/>
      <name val="Aptos Narrow"/>
      <scheme val="minor"/>
    </font>
    <font>
      <b/>
      <i/>
      <sz val="16"/>
      <color theme="0"/>
      <name val="Aptos Narrow"/>
      <scheme val="minor"/>
    </font>
    <font>
      <b/>
      <i/>
      <sz val="18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11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94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5" fillId="2" borderId="1" xfId="0" applyFont="1" applyFill="1" applyBorder="1"/>
    <xf numFmtId="0" fontId="6" fillId="2" borderId="0" xfId="0" applyFont="1" applyFill="1"/>
    <xf numFmtId="0" fontId="7" fillId="2" borderId="0" xfId="0" applyFont="1" applyFill="1"/>
    <xf numFmtId="0" fontId="10" fillId="2" borderId="3" xfId="2" applyFont="1" applyFill="1" applyBorder="1"/>
    <xf numFmtId="0" fontId="11" fillId="2" borderId="0" xfId="2" applyFont="1" applyFill="1" applyAlignment="1">
      <alignment horizontal="left"/>
    </xf>
    <xf numFmtId="0" fontId="11" fillId="2" borderId="0" xfId="2" applyFont="1" applyFill="1" applyAlignment="1">
      <alignment horizontal="left" indent="3"/>
    </xf>
    <xf numFmtId="0" fontId="10" fillId="2" borderId="0" xfId="2" applyFont="1" applyFill="1" applyAlignment="1">
      <alignment horizontal="left" indent="4"/>
    </xf>
    <xf numFmtId="0" fontId="11" fillId="2" borderId="0" xfId="2" applyFont="1" applyFill="1" applyAlignment="1">
      <alignment horizontal="left" indent="6"/>
    </xf>
    <xf numFmtId="0" fontId="10" fillId="2" borderId="0" xfId="2" applyFont="1" applyFill="1" applyAlignment="1">
      <alignment horizontal="left" indent="7"/>
    </xf>
    <xf numFmtId="0" fontId="10" fillId="2" borderId="0" xfId="2" applyFont="1" applyFill="1" applyAlignment="1">
      <alignment horizontal="left" indent="1"/>
    </xf>
    <xf numFmtId="0" fontId="12" fillId="2" borderId="0" xfId="2" applyFont="1" applyFill="1" applyAlignment="1">
      <alignment horizontal="left"/>
    </xf>
    <xf numFmtId="8" fontId="10" fillId="2" borderId="2" xfId="2" applyNumberFormat="1" applyFont="1" applyFill="1" applyBorder="1"/>
    <xf numFmtId="0" fontId="13" fillId="0" borderId="0" xfId="0" applyFont="1"/>
    <xf numFmtId="0" fontId="10" fillId="2" borderId="0" xfId="0" applyFont="1" applyFill="1"/>
    <xf numFmtId="0" fontId="9" fillId="2" borderId="1" xfId="2" applyFont="1" applyFill="1" applyBorder="1" applyAlignment="1">
      <alignment horizontal="left"/>
    </xf>
    <xf numFmtId="0" fontId="9" fillId="2" borderId="1" xfId="0" applyFont="1" applyFill="1" applyBorder="1"/>
    <xf numFmtId="0" fontId="10" fillId="5" borderId="0" xfId="2" applyFont="1" applyFill="1" applyAlignment="1">
      <alignment horizontal="left" indent="4"/>
    </xf>
    <xf numFmtId="0" fontId="10" fillId="5" borderId="0" xfId="0" applyFont="1" applyFill="1"/>
    <xf numFmtId="0" fontId="11" fillId="5" borderId="0" xfId="2" applyFont="1" applyFill="1" applyAlignment="1">
      <alignment horizontal="left"/>
    </xf>
    <xf numFmtId="0" fontId="10" fillId="5" borderId="0" xfId="2" applyFont="1" applyFill="1" applyAlignment="1">
      <alignment horizontal="left" indent="7"/>
    </xf>
    <xf numFmtId="0" fontId="11" fillId="5" borderId="0" xfId="2" applyFont="1" applyFill="1" applyAlignment="1">
      <alignment horizontal="left" indent="3"/>
    </xf>
    <xf numFmtId="0" fontId="10" fillId="5" borderId="0" xfId="2" applyFont="1" applyFill="1" applyAlignment="1">
      <alignment horizontal="left" indent="1"/>
    </xf>
    <xf numFmtId="43" fontId="10" fillId="5" borderId="0" xfId="0" applyNumberFormat="1" applyFont="1" applyFill="1"/>
    <xf numFmtId="43" fontId="10" fillId="2" borderId="0" xfId="0" applyNumberFormat="1" applyFont="1" applyFill="1"/>
    <xf numFmtId="43" fontId="9" fillId="5" borderId="0" xfId="0" applyNumberFormat="1" applyFont="1" applyFill="1"/>
    <xf numFmtId="43" fontId="9" fillId="2" borderId="0" xfId="0" applyNumberFormat="1" applyFont="1" applyFill="1"/>
    <xf numFmtId="0" fontId="12" fillId="5" borderId="0" xfId="2" applyFont="1" applyFill="1" applyAlignment="1">
      <alignment horizontal="left"/>
    </xf>
    <xf numFmtId="0" fontId="11" fillId="5" borderId="0" xfId="2" applyFont="1" applyFill="1" applyAlignment="1">
      <alignment horizontal="left" indent="6"/>
    </xf>
    <xf numFmtId="0" fontId="15" fillId="2" borderId="0" xfId="0" applyFont="1" applyFill="1"/>
    <xf numFmtId="0" fontId="16" fillId="2" borderId="0" xfId="0" applyFont="1" applyFill="1"/>
    <xf numFmtId="10" fontId="9" fillId="2" borderId="0" xfId="1" applyNumberFormat="1" applyFont="1" applyFill="1"/>
    <xf numFmtId="0" fontId="13" fillId="2" borderId="0" xfId="0" applyFont="1" applyFill="1"/>
    <xf numFmtId="0" fontId="16" fillId="5" borderId="0" xfId="0" applyFont="1" applyFill="1"/>
    <xf numFmtId="0" fontId="9" fillId="5" borderId="0" xfId="0" applyFont="1" applyFill="1"/>
    <xf numFmtId="0" fontId="5" fillId="2" borderId="7" xfId="0" applyFont="1" applyFill="1" applyBorder="1"/>
    <xf numFmtId="2" fontId="5" fillId="2" borderId="7" xfId="0" applyNumberFormat="1" applyFont="1" applyFill="1" applyBorder="1"/>
    <xf numFmtId="1" fontId="5" fillId="2" borderId="7" xfId="0" applyNumberFormat="1" applyFont="1" applyFill="1" applyBorder="1"/>
    <xf numFmtId="9" fontId="5" fillId="2" borderId="7" xfId="1" applyFont="1" applyFill="1" applyBorder="1"/>
    <xf numFmtId="10" fontId="5" fillId="2" borderId="7" xfId="0" applyNumberFormat="1" applyFont="1" applyFill="1" applyBorder="1"/>
    <xf numFmtId="9" fontId="5" fillId="2" borderId="7" xfId="0" applyNumberFormat="1" applyFont="1" applyFill="1" applyBorder="1"/>
    <xf numFmtId="10" fontId="5" fillId="2" borderId="7" xfId="1" applyNumberFormat="1" applyFont="1" applyFill="1" applyBorder="1"/>
    <xf numFmtId="0" fontId="6" fillId="6" borderId="0" xfId="0" applyFont="1" applyFill="1"/>
    <xf numFmtId="0" fontId="7" fillId="6" borderId="0" xfId="0" applyFont="1" applyFill="1"/>
    <xf numFmtId="0" fontId="17" fillId="2" borderId="1" xfId="0" applyFont="1" applyFill="1" applyBorder="1"/>
    <xf numFmtId="0" fontId="17" fillId="2" borderId="0" xfId="0" applyFont="1" applyFill="1"/>
    <xf numFmtId="0" fontId="3" fillId="2" borderId="0" xfId="0" applyFont="1" applyFill="1"/>
    <xf numFmtId="0" fontId="17" fillId="7" borderId="4" xfId="0" applyFont="1" applyFill="1" applyBorder="1" applyAlignment="1">
      <alignment horizontal="center"/>
    </xf>
    <xf numFmtId="43" fontId="3" fillId="2" borderId="0" xfId="0" applyNumberFormat="1" applyFont="1" applyFill="1"/>
    <xf numFmtId="43" fontId="17" fillId="9" borderId="4" xfId="0" applyNumberFormat="1" applyFont="1" applyFill="1" applyBorder="1"/>
    <xf numFmtId="1" fontId="17" fillId="7" borderId="7" xfId="0" applyNumberFormat="1" applyFont="1" applyFill="1" applyBorder="1" applyAlignment="1">
      <alignment horizontal="center"/>
    </xf>
    <xf numFmtId="9" fontId="3" fillId="2" borderId="0" xfId="1" applyFont="1" applyFill="1"/>
    <xf numFmtId="9" fontId="17" fillId="9" borderId="4" xfId="0" applyNumberFormat="1" applyFont="1" applyFill="1" applyBorder="1"/>
    <xf numFmtId="2" fontId="17" fillId="7" borderId="4" xfId="0" applyNumberFormat="1" applyFont="1" applyFill="1" applyBorder="1" applyAlignment="1">
      <alignment horizontal="center"/>
    </xf>
    <xf numFmtId="1" fontId="17" fillId="7" borderId="4" xfId="0" applyNumberFormat="1" applyFont="1" applyFill="1" applyBorder="1" applyAlignment="1">
      <alignment horizontal="center"/>
    </xf>
    <xf numFmtId="14" fontId="17" fillId="7" borderId="4" xfId="0" applyNumberFormat="1" applyFont="1" applyFill="1" applyBorder="1" applyAlignment="1">
      <alignment horizontal="center"/>
    </xf>
    <xf numFmtId="10" fontId="17" fillId="2" borderId="4" xfId="0" applyNumberFormat="1" applyFont="1" applyFill="1" applyBorder="1"/>
    <xf numFmtId="0" fontId="3" fillId="4" borderId="5" xfId="0" applyFont="1" applyFill="1" applyBorder="1"/>
    <xf numFmtId="0" fontId="3" fillId="4" borderId="5" xfId="0" applyFont="1" applyFill="1" applyBorder="1" applyAlignment="1">
      <alignment horizontal="right"/>
    </xf>
    <xf numFmtId="0" fontId="17" fillId="2" borderId="6" xfId="0" applyFont="1" applyFill="1" applyBorder="1"/>
    <xf numFmtId="43" fontId="19" fillId="2" borderId="0" xfId="1" applyNumberFormat="1" applyFont="1" applyFill="1"/>
    <xf numFmtId="43" fontId="19" fillId="2" borderId="0" xfId="0" applyNumberFormat="1" applyFont="1" applyFill="1"/>
    <xf numFmtId="43" fontId="2" fillId="2" borderId="8" xfId="0" applyNumberFormat="1" applyFont="1" applyFill="1" applyBorder="1"/>
    <xf numFmtId="43" fontId="2" fillId="2" borderId="9" xfId="0" applyNumberFormat="1" applyFont="1" applyFill="1" applyBorder="1"/>
    <xf numFmtId="9" fontId="17" fillId="2" borderId="0" xfId="0" applyNumberFormat="1" applyFont="1" applyFill="1"/>
    <xf numFmtId="9" fontId="17" fillId="2" borderId="0" xfId="1" applyFont="1" applyFill="1"/>
    <xf numFmtId="9" fontId="17" fillId="2" borderId="0" xfId="1" applyFont="1" applyFill="1" applyBorder="1"/>
    <xf numFmtId="9" fontId="17" fillId="2" borderId="6" xfId="0" applyNumberFormat="1" applyFont="1" applyFill="1" applyBorder="1"/>
    <xf numFmtId="43" fontId="17" fillId="2" borderId="6" xfId="0" applyNumberFormat="1" applyFont="1" applyFill="1" applyBorder="1"/>
    <xf numFmtId="43" fontId="17" fillId="2" borderId="0" xfId="0" applyNumberFormat="1" applyFont="1" applyFill="1"/>
    <xf numFmtId="9" fontId="17" fillId="2" borderId="6" xfId="1" applyFont="1" applyFill="1" applyBorder="1"/>
    <xf numFmtId="41" fontId="17" fillId="2" borderId="6" xfId="0" applyNumberFormat="1" applyFont="1" applyFill="1" applyBorder="1"/>
    <xf numFmtId="41" fontId="17" fillId="2" borderId="0" xfId="0" applyNumberFormat="1" applyFont="1" applyFill="1"/>
    <xf numFmtId="0" fontId="17" fillId="2" borderId="0" xfId="0" applyFont="1" applyFill="1" applyAlignment="1">
      <alignment wrapText="1"/>
    </xf>
    <xf numFmtId="9" fontId="20" fillId="2" borderId="0" xfId="0" applyNumberFormat="1" applyFont="1" applyFill="1"/>
    <xf numFmtId="0" fontId="17" fillId="8" borderId="0" xfId="0" applyFont="1" applyFill="1"/>
    <xf numFmtId="9" fontId="17" fillId="8" borderId="0" xfId="0" applyNumberFormat="1" applyFont="1" applyFill="1"/>
    <xf numFmtId="0" fontId="17" fillId="8" borderId="6" xfId="0" applyFont="1" applyFill="1" applyBorder="1" applyAlignment="1">
      <alignment horizontal="right"/>
    </xf>
    <xf numFmtId="0" fontId="17" fillId="8" borderId="0" xfId="0" applyFont="1" applyFill="1" applyAlignment="1">
      <alignment horizontal="right"/>
    </xf>
    <xf numFmtId="43" fontId="17" fillId="2" borderId="4" xfId="0" applyNumberFormat="1" applyFont="1" applyFill="1" applyBorder="1"/>
    <xf numFmtId="10" fontId="17" fillId="2" borderId="0" xfId="0" applyNumberFormat="1" applyFont="1" applyFill="1"/>
    <xf numFmtId="10" fontId="17" fillId="2" borderId="0" xfId="1" applyNumberFormat="1" applyFont="1" applyFill="1"/>
    <xf numFmtId="10" fontId="17" fillId="2" borderId="6" xfId="1" applyNumberFormat="1" applyFont="1" applyFill="1" applyBorder="1"/>
    <xf numFmtId="10" fontId="17" fillId="2" borderId="0" xfId="1" applyNumberFormat="1" applyFont="1" applyFill="1" applyBorder="1"/>
    <xf numFmtId="0" fontId="17" fillId="3" borderId="0" xfId="0" applyFont="1" applyFill="1"/>
    <xf numFmtId="0" fontId="18" fillId="3" borderId="0" xfId="0" applyFont="1" applyFill="1"/>
    <xf numFmtId="9" fontId="17" fillId="3" borderId="0" xfId="0" applyNumberFormat="1" applyFont="1" applyFill="1"/>
    <xf numFmtId="9" fontId="17" fillId="3" borderId="6" xfId="0" applyNumberFormat="1" applyFont="1" applyFill="1" applyBorder="1"/>
    <xf numFmtId="0" fontId="17" fillId="4" borderId="0" xfId="0" applyFont="1" applyFill="1"/>
    <xf numFmtId="0" fontId="21" fillId="4" borderId="1" xfId="0" applyFont="1" applyFill="1" applyBorder="1"/>
    <xf numFmtId="0" fontId="22" fillId="2" borderId="0" xfId="0" applyFont="1" applyFill="1"/>
  </cellXfs>
  <cellStyles count="3">
    <cellStyle name="Normal" xfId="0" builtinId="0"/>
    <cellStyle name="Normal 2" xfId="2" xr:uid="{8219E107-D7A9-1C48-9B2A-D37B74785F5D}"/>
    <cellStyle name="Percent" xfId="1" builtinId="5"/>
  </cellStyles>
  <dxfs count="0"/>
  <tableStyles count="0" defaultTableStyle="TableStyleMedium2" defaultPivotStyle="PivotStyleLight16"/>
  <colors>
    <mruColors>
      <color rgb="FF0118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Models/Chipotle/2024.07.27%20-%20Chipotle%20DCF.xlsx" TargetMode="External"/><Relationship Id="rId1" Type="http://schemas.openxmlformats.org/officeDocument/2006/relationships/externalLinkPath" Target="https://d.docs.live.net/4fc5d5c8c4852779/Desktop/Models/Chipotle/2024.07.27%20-%20Chipotle%20DC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CF"/>
      <sheetName val="WACC"/>
      <sheetName val="Shares"/>
      <sheetName val="IS - Historicals"/>
      <sheetName val="IS - Forecast"/>
      <sheetName val="CFS - Historicals"/>
      <sheetName val="CFS - Forecast"/>
    </sheetNames>
    <sheetDataSet>
      <sheetData sheetId="0" refreshError="1"/>
      <sheetData sheetId="1" refreshError="1">
        <row r="18">
          <cell r="E18">
            <v>8.4806000000000006E-2</v>
          </cell>
        </row>
        <row r="19">
          <cell r="E19">
            <v>2.5000000000000001E-2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3">
    <v t="i">0</v>
    <v t="i">1</v>
    <v t="i">2</v>
  </a>
  <a r="1" c="3">
    <v>956.08</v>
    <v>958.16</v>
    <v>1016.59</v>
  </a>
</arrayData>
</file>

<file path=xl/richData/rdrichvalue.xml><?xml version="1.0" encoding="utf-8"?>
<rvData xmlns="http://schemas.microsoft.com/office/spreadsheetml/2017/richdata" count="2">
  <rv s="0">
    <fb>1016.59</fb>
    <v>0</v>
  </rv>
  <rv s="1">
    <v>1</v>
    <v>MU</v>
    <v>Daily</v>
    <v>46267</v>
    <v>46273</v>
    <v>0</v>
    <v>1</v>
    <v>639240768000000000,639245641448787368,0</v>
    <v>0</v>
    <v>a1y4oc</v>
    <v>XNAS:MU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0CAC8-3A6D-1B4D-B90A-4C1C007DB222}">
  <dimension ref="A2:N74"/>
  <sheetViews>
    <sheetView topLeftCell="A46" workbookViewId="0">
      <selection activeCell="C72" sqref="C72"/>
    </sheetView>
  </sheetViews>
  <sheetFormatPr baseColWidth="10" defaultRowHeight="19" x14ac:dyDescent="0.25"/>
  <cols>
    <col min="1" max="1" width="2.83203125" style="48" customWidth="1"/>
    <col min="2" max="2" width="24.33203125" style="48" customWidth="1"/>
    <col min="3" max="13" width="14.83203125" style="48" customWidth="1"/>
    <col min="14" max="14" width="2.83203125" style="48" customWidth="1"/>
    <col min="15" max="15" width="14.83203125" style="48" customWidth="1"/>
    <col min="16" max="16384" width="10.83203125" style="48"/>
  </cols>
  <sheetData>
    <row r="2" spans="1:14" s="47" customFormat="1" ht="22" x14ac:dyDescent="0.3">
      <c r="B2" s="92" t="s">
        <v>81</v>
      </c>
    </row>
    <row r="3" spans="1:14" x14ac:dyDescent="0.25">
      <c r="F3" s="49"/>
    </row>
    <row r="4" spans="1:14" x14ac:dyDescent="0.25">
      <c r="B4" s="48" t="s">
        <v>103</v>
      </c>
      <c r="C4" s="50" t="s">
        <v>0</v>
      </c>
      <c r="E4" s="48" t="s">
        <v>139</v>
      </c>
      <c r="F4" s="51"/>
      <c r="G4" s="52">
        <f ca="1">C73</f>
        <v>378.69878657924386</v>
      </c>
    </row>
    <row r="5" spans="1:14" x14ac:dyDescent="0.25">
      <c r="B5" s="48" t="s">
        <v>127</v>
      </c>
      <c r="C5" s="53">
        <f>WACC!F11</f>
        <v>1122.4666035</v>
      </c>
      <c r="E5" s="48" t="s">
        <v>140</v>
      </c>
      <c r="F5" s="54"/>
      <c r="G5" s="55">
        <f ca="1">(G4/C6)-1</f>
        <v>-0.62748129867572588</v>
      </c>
    </row>
    <row r="6" spans="1:14" x14ac:dyDescent="0.25">
      <c r="B6" s="48" t="s">
        <v>102</v>
      </c>
      <c r="C6" s="56" vm="1">
        <f ca="1">WACC!F10</f>
        <v>1016.59</v>
      </c>
      <c r="F6" s="49"/>
    </row>
    <row r="7" spans="1:14" x14ac:dyDescent="0.25">
      <c r="B7" s="48" t="s">
        <v>128</v>
      </c>
      <c r="C7" s="57">
        <f ca="1">C6*C5</f>
        <v>1141088.3244520652</v>
      </c>
      <c r="E7" s="48" t="s">
        <v>134</v>
      </c>
      <c r="F7" s="51"/>
      <c r="G7" s="52">
        <f ca="1">C71</f>
        <v>430121.74072117521</v>
      </c>
    </row>
    <row r="8" spans="1:14" x14ac:dyDescent="0.25">
      <c r="B8" s="48" t="s">
        <v>104</v>
      </c>
      <c r="C8" s="58">
        <v>46020</v>
      </c>
      <c r="E8" s="48" t="s">
        <v>135</v>
      </c>
      <c r="F8" s="51"/>
      <c r="G8" s="52">
        <f ca="1">C72</f>
        <v>425076.74072117521</v>
      </c>
    </row>
    <row r="9" spans="1:14" x14ac:dyDescent="0.25">
      <c r="B9" s="48" t="s">
        <v>105</v>
      </c>
      <c r="C9" s="58">
        <v>46022</v>
      </c>
      <c r="F9" s="49"/>
    </row>
    <row r="11" spans="1:14" x14ac:dyDescent="0.25">
      <c r="B11" s="1" t="s">
        <v>106</v>
      </c>
    </row>
    <row r="12" spans="1:14" ht="5" customHeight="1" x14ac:dyDescent="0.25"/>
    <row r="13" spans="1:14" x14ac:dyDescent="0.25">
      <c r="B13" s="48" t="s">
        <v>8</v>
      </c>
      <c r="C13" s="59">
        <f ca="1">WACC!F27</f>
        <v>0.11752771487876082</v>
      </c>
    </row>
    <row r="14" spans="1:14" x14ac:dyDescent="0.25">
      <c r="B14" s="48" t="s">
        <v>82</v>
      </c>
      <c r="C14" s="59">
        <v>2.5000000000000001E-2</v>
      </c>
    </row>
    <row r="16" spans="1:14" x14ac:dyDescent="0.25">
      <c r="A16" s="91"/>
      <c r="B16" s="60" t="s">
        <v>108</v>
      </c>
      <c r="C16" s="61" t="s">
        <v>111</v>
      </c>
      <c r="D16" s="61" t="s">
        <v>112</v>
      </c>
      <c r="E16" s="61" t="s">
        <v>109</v>
      </c>
      <c r="F16" s="61" t="s">
        <v>110</v>
      </c>
      <c r="G16" s="61" t="s">
        <v>113</v>
      </c>
      <c r="H16" s="61" t="s">
        <v>114</v>
      </c>
      <c r="I16" s="61" t="s">
        <v>115</v>
      </c>
      <c r="J16" s="61" t="s">
        <v>116</v>
      </c>
      <c r="K16" s="61" t="s">
        <v>117</v>
      </c>
      <c r="L16" s="61" t="s">
        <v>118</v>
      </c>
      <c r="M16" s="61" t="s">
        <v>119</v>
      </c>
      <c r="N16" s="91"/>
    </row>
    <row r="17" spans="1:14" ht="5" customHeight="1" x14ac:dyDescent="0.25"/>
    <row r="18" spans="1:14" x14ac:dyDescent="0.25">
      <c r="A18" s="87"/>
      <c r="B18" s="88" t="s">
        <v>107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</row>
    <row r="19" spans="1:14" ht="5" customHeight="1" x14ac:dyDescent="0.25">
      <c r="A19" s="87"/>
      <c r="G19" s="62"/>
      <c r="N19" s="87"/>
    </row>
    <row r="20" spans="1:14" ht="20" thickBot="1" x14ac:dyDescent="0.3">
      <c r="A20" s="87"/>
      <c r="B20" s="48" t="s">
        <v>46</v>
      </c>
      <c r="C20" s="63">
        <f>'Income Statement'!F5</f>
        <v>30758</v>
      </c>
      <c r="D20" s="64">
        <f>'Income Statement'!G5</f>
        <v>15540</v>
      </c>
      <c r="E20" s="64">
        <f>'Income Statement'!H5</f>
        <v>25111</v>
      </c>
      <c r="F20" s="64">
        <f>'Income Statement'!I5</f>
        <v>37378</v>
      </c>
      <c r="G20" s="65">
        <f>F20*(1+G21)</f>
        <v>73810.336599999995</v>
      </c>
      <c r="H20" s="66">
        <f t="shared" ref="H20:M20" si="0">G20*(1+H21)</f>
        <v>90786.714017999999</v>
      </c>
      <c r="I20" s="66">
        <f t="shared" si="0"/>
        <v>106220.45540106</v>
      </c>
      <c r="J20" s="66">
        <f t="shared" si="0"/>
        <v>118966.91004918721</v>
      </c>
      <c r="K20" s="66">
        <f t="shared" si="0"/>
        <v>128484.2628531222</v>
      </c>
      <c r="L20" s="66">
        <f t="shared" si="0"/>
        <v>135165.44452148455</v>
      </c>
      <c r="M20" s="66">
        <f t="shared" si="0"/>
        <v>142194.04763660175</v>
      </c>
      <c r="N20" s="87"/>
    </row>
    <row r="21" spans="1:14" ht="20" thickTop="1" x14ac:dyDescent="0.25">
      <c r="A21" s="87"/>
      <c r="B21" s="48" t="s">
        <v>1</v>
      </c>
      <c r="C21" s="83">
        <f>(C20-'Income Statement'!E5)/'Income Statement'!E5</f>
        <v>0.11019671539433315</v>
      </c>
      <c r="D21" s="84">
        <f t="shared" ref="D21" si="1">(D20-C20)/C20</f>
        <v>-0.49476558944014565</v>
      </c>
      <c r="E21" s="84">
        <f>(E20-D20)/D20</f>
        <v>0.61589446589446595</v>
      </c>
      <c r="F21" s="84">
        <f t="shared" ref="F21" si="2">(F20-E20)/E20</f>
        <v>0.48851101111066864</v>
      </c>
      <c r="G21" s="85">
        <v>0.97470000000000001</v>
      </c>
      <c r="H21" s="86">
        <v>0.23</v>
      </c>
      <c r="I21" s="86">
        <v>0.17</v>
      </c>
      <c r="J21" s="86">
        <v>0.12</v>
      </c>
      <c r="K21" s="86">
        <v>0.08</v>
      </c>
      <c r="L21" s="86">
        <v>5.1999999999999998E-2</v>
      </c>
      <c r="M21" s="86">
        <v>5.1999999999999998E-2</v>
      </c>
      <c r="N21" s="87"/>
    </row>
    <row r="22" spans="1:14" x14ac:dyDescent="0.25">
      <c r="A22" s="87"/>
      <c r="C22" s="67"/>
      <c r="D22" s="67"/>
      <c r="E22" s="67"/>
      <c r="F22" s="67"/>
      <c r="G22" s="70"/>
      <c r="H22" s="67"/>
      <c r="I22" s="67"/>
      <c r="J22" s="67"/>
      <c r="K22" s="67"/>
      <c r="L22" s="67"/>
      <c r="M22" s="67"/>
      <c r="N22" s="87"/>
    </row>
    <row r="23" spans="1:14" x14ac:dyDescent="0.25">
      <c r="A23" s="87"/>
      <c r="B23" s="48" t="s">
        <v>120</v>
      </c>
      <c r="C23" s="64">
        <f>'Income Statement'!F7</f>
        <v>9744</v>
      </c>
      <c r="D23" s="64">
        <f>'Income Statement'!G7</f>
        <v>9200</v>
      </c>
      <c r="E23" s="64">
        <f>'Income Statement'!H7</f>
        <v>11718</v>
      </c>
      <c r="F23" s="64">
        <f>'Income Statement'!I7</f>
        <v>14153</v>
      </c>
      <c r="G23" s="71">
        <f>G20*G25</f>
        <v>22143.100979999999</v>
      </c>
      <c r="H23" s="72">
        <f t="shared" ref="H23:M23" si="3">H20*H25</f>
        <v>29051.748485759999</v>
      </c>
      <c r="I23" s="72">
        <f t="shared" si="3"/>
        <v>37177.159390370995</v>
      </c>
      <c r="J23" s="72">
        <f t="shared" si="3"/>
        <v>38069.411215739907</v>
      </c>
      <c r="K23" s="72">
        <f t="shared" si="3"/>
        <v>35975.59359887422</v>
      </c>
      <c r="L23" s="72">
        <f t="shared" si="3"/>
        <v>37846.324466015678</v>
      </c>
      <c r="M23" s="72">
        <f t="shared" si="3"/>
        <v>39814.333338248493</v>
      </c>
      <c r="N23" s="87"/>
    </row>
    <row r="24" spans="1:14" x14ac:dyDescent="0.25">
      <c r="A24" s="87"/>
      <c r="B24" s="48" t="s">
        <v>1</v>
      </c>
      <c r="C24" s="68">
        <f>(C23-'Income Statement'!E7)/'Income Statement'!E7</f>
        <v>-0.11962414166967836</v>
      </c>
      <c r="D24" s="68">
        <f t="shared" ref="D24:M24" si="4">(D23-C23)/C23</f>
        <v>-5.5829228243021348E-2</v>
      </c>
      <c r="E24" s="68">
        <f t="shared" si="4"/>
        <v>0.27369565217391306</v>
      </c>
      <c r="F24" s="68">
        <f t="shared" si="4"/>
        <v>0.20779996586448199</v>
      </c>
      <c r="G24" s="73">
        <f t="shared" si="4"/>
        <v>0.56455175439836069</v>
      </c>
      <c r="H24" s="69">
        <f t="shared" si="4"/>
        <v>0.312</v>
      </c>
      <c r="I24" s="69">
        <f>(I23-H23)/H23</f>
        <v>0.27968749999999987</v>
      </c>
      <c r="J24" s="69">
        <f t="shared" si="4"/>
        <v>2.4000000000000226E-2</v>
      </c>
      <c r="K24" s="69">
        <f t="shared" si="4"/>
        <v>-5.4999999999999778E-2</v>
      </c>
      <c r="L24" s="69">
        <f t="shared" si="4"/>
        <v>5.1999999999999949E-2</v>
      </c>
      <c r="M24" s="69">
        <f t="shared" si="4"/>
        <v>5.1999999999999984E-2</v>
      </c>
      <c r="N24" s="87"/>
    </row>
    <row r="25" spans="1:14" x14ac:dyDescent="0.25">
      <c r="A25" s="87"/>
      <c r="B25" s="48" t="s">
        <v>5</v>
      </c>
      <c r="C25" s="67">
        <f>C23/C20</f>
        <v>0.31679563040509784</v>
      </c>
      <c r="D25" s="67">
        <f>D23/D20</f>
        <v>0.59202059202059198</v>
      </c>
      <c r="E25" s="67">
        <f>E23/E20</f>
        <v>0.46664808251363943</v>
      </c>
      <c r="F25" s="67">
        <f>F23/F20</f>
        <v>0.37864519235914174</v>
      </c>
      <c r="G25" s="70">
        <v>0.3</v>
      </c>
      <c r="H25" s="67">
        <v>0.32</v>
      </c>
      <c r="I25" s="67">
        <v>0.35</v>
      </c>
      <c r="J25" s="67">
        <v>0.32</v>
      </c>
      <c r="K25" s="67">
        <v>0.28000000000000003</v>
      </c>
      <c r="L25" s="67">
        <v>0.28000000000000003</v>
      </c>
      <c r="M25" s="67">
        <v>0.28000000000000003</v>
      </c>
      <c r="N25" s="87"/>
    </row>
    <row r="26" spans="1:14" x14ac:dyDescent="0.25">
      <c r="A26" s="87"/>
      <c r="C26" s="67"/>
      <c r="D26" s="67"/>
      <c r="E26" s="67"/>
      <c r="F26" s="67"/>
      <c r="G26" s="70"/>
      <c r="H26" s="67"/>
      <c r="I26" s="67"/>
      <c r="J26" s="67"/>
      <c r="K26" s="67"/>
      <c r="L26" s="67"/>
      <c r="M26" s="67"/>
      <c r="N26" s="87"/>
    </row>
    <row r="27" spans="1:14" x14ac:dyDescent="0.25">
      <c r="A27" s="87"/>
      <c r="B27" s="48" t="s">
        <v>141</v>
      </c>
      <c r="C27" s="72">
        <f>C20-C23</f>
        <v>21014</v>
      </c>
      <c r="D27" s="72">
        <f t="shared" ref="D27:M27" si="5">D20-D23</f>
        <v>6340</v>
      </c>
      <c r="E27" s="72">
        <f t="shared" si="5"/>
        <v>13393</v>
      </c>
      <c r="F27" s="72">
        <f t="shared" si="5"/>
        <v>23225</v>
      </c>
      <c r="G27" s="71">
        <f t="shared" si="5"/>
        <v>51667.235619999992</v>
      </c>
      <c r="H27" s="72">
        <f t="shared" si="5"/>
        <v>61734.965532239999</v>
      </c>
      <c r="I27" s="72">
        <f t="shared" si="5"/>
        <v>69043.296010688995</v>
      </c>
      <c r="J27" s="72">
        <f t="shared" si="5"/>
        <v>80897.498833447302</v>
      </c>
      <c r="K27" s="72">
        <f t="shared" si="5"/>
        <v>92508.669254247972</v>
      </c>
      <c r="L27" s="72">
        <f t="shared" si="5"/>
        <v>97319.120055468869</v>
      </c>
      <c r="M27" s="72">
        <f t="shared" si="5"/>
        <v>102379.71429835327</v>
      </c>
      <c r="N27" s="87"/>
    </row>
    <row r="28" spans="1:14" x14ac:dyDescent="0.25">
      <c r="A28" s="87"/>
      <c r="B28" s="48" t="s">
        <v>142</v>
      </c>
      <c r="C28" s="67">
        <f>C27/C20</f>
        <v>0.68320436959490216</v>
      </c>
      <c r="D28" s="67">
        <f t="shared" ref="D28:M28" si="6">D27/D20</f>
        <v>0.40797940797940796</v>
      </c>
      <c r="E28" s="67">
        <f t="shared" si="6"/>
        <v>0.53335191748636057</v>
      </c>
      <c r="F28" s="67">
        <f t="shared" si="6"/>
        <v>0.62135480764085826</v>
      </c>
      <c r="G28" s="70">
        <f t="shared" si="6"/>
        <v>0.7</v>
      </c>
      <c r="H28" s="67">
        <f t="shared" si="6"/>
        <v>0.68</v>
      </c>
      <c r="I28" s="67">
        <f t="shared" si="6"/>
        <v>0.65</v>
      </c>
      <c r="J28" s="67">
        <f t="shared" si="6"/>
        <v>0.68</v>
      </c>
      <c r="K28" s="67">
        <f t="shared" si="6"/>
        <v>0.71999999999999986</v>
      </c>
      <c r="L28" s="67">
        <f t="shared" si="6"/>
        <v>0.72</v>
      </c>
      <c r="M28" s="67">
        <f t="shared" si="6"/>
        <v>0.72000000000000008</v>
      </c>
      <c r="N28" s="87"/>
    </row>
    <row r="29" spans="1:14" x14ac:dyDescent="0.25">
      <c r="A29" s="87"/>
      <c r="C29" s="67"/>
      <c r="D29" s="67"/>
      <c r="E29" s="67"/>
      <c r="F29" s="67"/>
      <c r="G29" s="70"/>
      <c r="H29" s="67"/>
      <c r="I29" s="67"/>
      <c r="J29" s="67"/>
      <c r="K29" s="67"/>
      <c r="L29" s="67"/>
      <c r="M29" s="67"/>
      <c r="N29" s="87"/>
    </row>
    <row r="30" spans="1:14" x14ac:dyDescent="0.25">
      <c r="A30" s="87"/>
      <c r="B30" s="48" t="s">
        <v>143</v>
      </c>
      <c r="C30" s="72">
        <f>SUM('Income Statement'!F10:F12)</f>
        <v>4148</v>
      </c>
      <c r="D30" s="72">
        <f>SUM('Income Statement'!G10:G12)</f>
        <v>4158</v>
      </c>
      <c r="E30" s="72">
        <f>SUM('Income Statement'!H10:H12)</f>
        <v>4308</v>
      </c>
      <c r="F30" s="72">
        <f>SUM('Income Statement'!I10:I12)</f>
        <v>5064</v>
      </c>
      <c r="G30" s="71">
        <v>5900</v>
      </c>
      <c r="H30" s="75">
        <f>H20*H31</f>
        <v>9078.6714018000002</v>
      </c>
      <c r="I30" s="75">
        <f t="shared" ref="I30:M30" si="7">I20*I31</f>
        <v>10622.045540106001</v>
      </c>
      <c r="J30" s="75">
        <f t="shared" si="7"/>
        <v>11896.691004918721</v>
      </c>
      <c r="K30" s="75">
        <f t="shared" si="7"/>
        <v>12848.42628531222</v>
      </c>
      <c r="L30" s="75">
        <f t="shared" si="7"/>
        <v>13516.544452148455</v>
      </c>
      <c r="M30" s="75">
        <f t="shared" si="7"/>
        <v>14219.404763660175</v>
      </c>
      <c r="N30" s="87"/>
    </row>
    <row r="31" spans="1:14" x14ac:dyDescent="0.25">
      <c r="A31" s="87"/>
      <c r="B31" s="48" t="s">
        <v>125</v>
      </c>
      <c r="C31" s="67">
        <f>C30/C20</f>
        <v>0.13485922361662006</v>
      </c>
      <c r="D31" s="67">
        <f t="shared" ref="D31:G31" si="8">D30/D20</f>
        <v>0.26756756756756755</v>
      </c>
      <c r="E31" s="67">
        <f t="shared" si="8"/>
        <v>0.17155828123133288</v>
      </c>
      <c r="F31" s="67">
        <f t="shared" si="8"/>
        <v>0.13548076408582588</v>
      </c>
      <c r="G31" s="70">
        <f t="shared" si="8"/>
        <v>7.9934603631112558E-2</v>
      </c>
      <c r="H31" s="67">
        <v>0.1</v>
      </c>
      <c r="I31" s="67">
        <v>0.1</v>
      </c>
      <c r="J31" s="67">
        <v>0.1</v>
      </c>
      <c r="K31" s="67">
        <v>0.1</v>
      </c>
      <c r="L31" s="67">
        <v>0.1</v>
      </c>
      <c r="M31" s="67">
        <v>0.1</v>
      </c>
      <c r="N31" s="87"/>
    </row>
    <row r="32" spans="1:14" x14ac:dyDescent="0.25">
      <c r="A32" s="87"/>
      <c r="G32" s="62"/>
      <c r="N32" s="87"/>
    </row>
    <row r="33" spans="1:14" ht="20" thickBot="1" x14ac:dyDescent="0.3">
      <c r="A33" s="87"/>
      <c r="B33" s="48" t="s">
        <v>2</v>
      </c>
      <c r="C33" s="64">
        <f>'Income Statement'!F13</f>
        <v>9702</v>
      </c>
      <c r="D33" s="64">
        <f>'Income Statement'!G13</f>
        <v>-5745</v>
      </c>
      <c r="E33" s="64">
        <f>'Income Statement'!H13</f>
        <v>1304</v>
      </c>
      <c r="F33" s="64">
        <f>'Income Statement'!I13</f>
        <v>9770</v>
      </c>
      <c r="G33" s="65">
        <f>G20-G23-G30</f>
        <v>45767.235619999992</v>
      </c>
      <c r="H33" s="66">
        <f t="shared" ref="H33:M33" si="9">H20-H23-H30</f>
        <v>52656.294130440001</v>
      </c>
      <c r="I33" s="66">
        <f t="shared" si="9"/>
        <v>58421.250470582992</v>
      </c>
      <c r="J33" s="66">
        <f t="shared" si="9"/>
        <v>69000.807828528574</v>
      </c>
      <c r="K33" s="66">
        <f t="shared" si="9"/>
        <v>79660.242968935752</v>
      </c>
      <c r="L33" s="66">
        <f t="shared" si="9"/>
        <v>83802.575603320409</v>
      </c>
      <c r="M33" s="66">
        <f t="shared" si="9"/>
        <v>88160.309534693093</v>
      </c>
      <c r="N33" s="87"/>
    </row>
    <row r="34" spans="1:14" ht="20" thickTop="1" x14ac:dyDescent="0.25">
      <c r="A34" s="87"/>
      <c r="B34" s="48" t="s">
        <v>1</v>
      </c>
      <c r="C34" s="68">
        <f>(C33-'Income Statement'!E13)/'Income Statement'!E13</f>
        <v>0.54416679929969758</v>
      </c>
      <c r="D34" s="68">
        <f t="shared" ref="D34" si="10">(D33-C33)/C33</f>
        <v>-1.5921459492888064</v>
      </c>
      <c r="E34" s="68">
        <f t="shared" ref="E34" si="11">(E33-D33)/D33</f>
        <v>-1.2269799825935597</v>
      </c>
      <c r="F34" s="68">
        <f t="shared" ref="F34" si="12">(F33-E33)/E33</f>
        <v>6.492331288343558</v>
      </c>
      <c r="G34" s="73">
        <f t="shared" ref="G34" si="13">(G33-F33)/F33</f>
        <v>3.684466286591606</v>
      </c>
      <c r="H34" s="69">
        <f t="shared" ref="H34" si="14">(H33-G33)/G33</f>
        <v>0.15052380632378709</v>
      </c>
      <c r="I34" s="69">
        <f t="shared" ref="I34" si="15">(I33-H33)/H33</f>
        <v>0.10948275862068949</v>
      </c>
      <c r="J34" s="69">
        <f t="shared" ref="J34:K34" si="16">(J33-I33)/I33</f>
        <v>0.18109090909090922</v>
      </c>
      <c r="K34" s="69">
        <f t="shared" si="16"/>
        <v>0.15448275862068975</v>
      </c>
      <c r="L34" s="69">
        <f t="shared" ref="L34" si="17">(L33-K33)/K33</f>
        <v>5.199999999999997E-2</v>
      </c>
      <c r="M34" s="69">
        <f t="shared" ref="M34" si="18">(M33-L33)/L33</f>
        <v>5.2000000000000275E-2</v>
      </c>
      <c r="N34" s="87"/>
    </row>
    <row r="35" spans="1:14" x14ac:dyDescent="0.25">
      <c r="A35" s="87"/>
      <c r="B35" s="48" t="s">
        <v>5</v>
      </c>
      <c r="C35" s="67">
        <f>C33/C20</f>
        <v>0.31543013199817932</v>
      </c>
      <c r="D35" s="67">
        <f>D33/D20</f>
        <v>-0.36969111969111967</v>
      </c>
      <c r="E35" s="67">
        <f>E33/E20</f>
        <v>5.192943331607662E-2</v>
      </c>
      <c r="F35" s="67">
        <f>F33/F20</f>
        <v>0.26138370164267749</v>
      </c>
      <c r="G35" s="70">
        <v>0.42</v>
      </c>
      <c r="H35" s="67">
        <v>0.4</v>
      </c>
      <c r="I35" s="67">
        <v>0.35</v>
      </c>
      <c r="J35" s="67">
        <v>0.35</v>
      </c>
      <c r="K35" s="67">
        <v>0.35</v>
      </c>
      <c r="L35" s="67">
        <v>0.35</v>
      </c>
      <c r="M35" s="67">
        <v>0.35</v>
      </c>
      <c r="N35" s="87"/>
    </row>
    <row r="36" spans="1:14" x14ac:dyDescent="0.25">
      <c r="A36" s="87"/>
      <c r="G36" s="62"/>
      <c r="N36" s="87"/>
    </row>
    <row r="37" spans="1:14" ht="20" thickBot="1" x14ac:dyDescent="0.3">
      <c r="A37" s="87"/>
      <c r="B37" s="48" t="s">
        <v>121</v>
      </c>
      <c r="C37" s="64">
        <f xml:space="preserve"> 'Income Statement'!F34</f>
        <v>16818</v>
      </c>
      <c r="D37" s="64">
        <f xml:space="preserve"> 'Income Statement'!G34</f>
        <v>2011</v>
      </c>
      <c r="E37" s="64">
        <f xml:space="preserve"> 'Income Statement'!H34</f>
        <v>9084</v>
      </c>
      <c r="F37" s="64">
        <f xml:space="preserve"> 'Income Statement'!I34</f>
        <v>18122</v>
      </c>
      <c r="G37" s="65">
        <f>G33+G41</f>
        <v>56838.786109999994</v>
      </c>
      <c r="H37" s="66">
        <f t="shared" ref="H37:M37" si="19">H33+H41</f>
        <v>68997.902653680008</v>
      </c>
      <c r="I37" s="66">
        <f t="shared" si="19"/>
        <v>79665.341550794998</v>
      </c>
      <c r="J37" s="66">
        <f t="shared" si="19"/>
        <v>92794.189838366015</v>
      </c>
      <c r="K37" s="66">
        <f t="shared" si="19"/>
        <v>105357.09553956019</v>
      </c>
      <c r="L37" s="66">
        <f t="shared" si="19"/>
        <v>110835.66450761732</v>
      </c>
      <c r="M37" s="66">
        <f t="shared" si="19"/>
        <v>116599.11906201344</v>
      </c>
      <c r="N37" s="87"/>
    </row>
    <row r="38" spans="1:14" ht="20" thickTop="1" x14ac:dyDescent="0.25">
      <c r="A38" s="87"/>
      <c r="B38" s="48" t="s">
        <v>1</v>
      </c>
      <c r="C38" s="68">
        <f>(C37-'Income Statement'!E34)/'Income Statement'!E34</f>
        <v>0.34576298311594783</v>
      </c>
      <c r="D38" s="68">
        <f t="shared" ref="D38" si="20">(D37-C37)/C37</f>
        <v>-0.88042573433226301</v>
      </c>
      <c r="E38" s="68">
        <f t="shared" ref="E38" si="21">(E37-D37)/D37</f>
        <v>3.5171556439582297</v>
      </c>
      <c r="F38" s="68">
        <f t="shared" ref="F38" si="22">(F37-E37)/E37</f>
        <v>0.99493615147512104</v>
      </c>
      <c r="G38" s="73">
        <f t="shared" ref="G38" si="23">(G37-F37)/F37</f>
        <v>2.1364521636684688</v>
      </c>
      <c r="H38" s="69">
        <f t="shared" ref="H38" si="24">(H37-G37)/G37</f>
        <v>0.21392287513228203</v>
      </c>
      <c r="I38" s="69">
        <f t="shared" ref="I38" si="25">(I37-H37)/H37</f>
        <v>0.15460526315789455</v>
      </c>
      <c r="J38" s="69">
        <f t="shared" ref="J38" si="26">(J37-I37)/I37</f>
        <v>0.16480000000000003</v>
      </c>
      <c r="K38" s="69">
        <f t="shared" ref="K38" si="27">(K37-J37)/J37</f>
        <v>0.13538461538461546</v>
      </c>
      <c r="L38" s="69">
        <f t="shared" ref="L38" si="28">(L37-K37)/K37</f>
        <v>5.1999999999999935E-2</v>
      </c>
      <c r="M38" s="69">
        <f t="shared" ref="M38" si="29">(M37-L37)/L37</f>
        <v>5.2000000000000254E-2</v>
      </c>
      <c r="N38" s="87"/>
    </row>
    <row r="39" spans="1:14" x14ac:dyDescent="0.25">
      <c r="A39" s="87"/>
      <c r="B39" s="48" t="s">
        <v>5</v>
      </c>
      <c r="C39" s="67">
        <f t="shared" ref="C39:M39" si="30">C37/C20</f>
        <v>0.54678457637037514</v>
      </c>
      <c r="D39" s="67">
        <f t="shared" si="30"/>
        <v>0.12940797940797941</v>
      </c>
      <c r="E39" s="67">
        <f t="shared" si="30"/>
        <v>0.36175381306996934</v>
      </c>
      <c r="F39" s="67">
        <f t="shared" si="30"/>
        <v>0.4848306490448927</v>
      </c>
      <c r="G39" s="70">
        <f t="shared" si="30"/>
        <v>0.77006539636888738</v>
      </c>
      <c r="H39" s="67">
        <f t="shared" si="30"/>
        <v>0.76000000000000012</v>
      </c>
      <c r="I39" s="67">
        <f t="shared" si="30"/>
        <v>0.75</v>
      </c>
      <c r="J39" s="67">
        <f t="shared" si="30"/>
        <v>0.77999999999999992</v>
      </c>
      <c r="K39" s="67">
        <f t="shared" si="30"/>
        <v>0.82</v>
      </c>
      <c r="L39" s="67">
        <f t="shared" si="30"/>
        <v>0.82</v>
      </c>
      <c r="M39" s="67">
        <f t="shared" si="30"/>
        <v>0.82000000000000006</v>
      </c>
      <c r="N39" s="87"/>
    </row>
    <row r="40" spans="1:14" x14ac:dyDescent="0.25">
      <c r="A40" s="87"/>
      <c r="C40" s="67"/>
      <c r="D40" s="67"/>
      <c r="E40" s="67"/>
      <c r="F40" s="67"/>
      <c r="G40" s="70"/>
      <c r="H40" s="67"/>
      <c r="I40" s="67"/>
      <c r="J40" s="67"/>
      <c r="K40" s="67"/>
      <c r="L40" s="67"/>
      <c r="M40" s="67"/>
      <c r="N40" s="87"/>
    </row>
    <row r="41" spans="1:14" x14ac:dyDescent="0.25">
      <c r="A41" s="87"/>
      <c r="B41" s="48" t="s">
        <v>123</v>
      </c>
      <c r="C41" s="64">
        <f>'Cash Flow Statement'!F7</f>
        <v>7116</v>
      </c>
      <c r="D41" s="64">
        <f>'Cash Flow Statement'!G7</f>
        <v>7756</v>
      </c>
      <c r="E41" s="64">
        <f>'Cash Flow Statement'!H7</f>
        <v>7780</v>
      </c>
      <c r="F41" s="64">
        <f>'Cash Flow Statement'!I7</f>
        <v>8352</v>
      </c>
      <c r="G41" s="74">
        <f t="shared" ref="G41:M41" si="31">G20*G43</f>
        <v>11071.55049</v>
      </c>
      <c r="H41" s="75">
        <f t="shared" si="31"/>
        <v>16341.60852324</v>
      </c>
      <c r="I41" s="75">
        <f t="shared" si="31"/>
        <v>21244.091080212002</v>
      </c>
      <c r="J41" s="75">
        <f t="shared" si="31"/>
        <v>23793.382009837442</v>
      </c>
      <c r="K41" s="75">
        <f t="shared" si="31"/>
        <v>25696.85257062444</v>
      </c>
      <c r="L41" s="75">
        <f t="shared" si="31"/>
        <v>27033.08890429691</v>
      </c>
      <c r="M41" s="75">
        <f t="shared" si="31"/>
        <v>28438.809527320351</v>
      </c>
      <c r="N41" s="87"/>
    </row>
    <row r="42" spans="1:14" x14ac:dyDescent="0.25">
      <c r="A42" s="87"/>
      <c r="B42" s="48" t="s">
        <v>1</v>
      </c>
      <c r="C42" s="68">
        <f>(C41-'Income Statement'!E8)/'Income Statement'!E8</f>
        <v>0.14515609913099453</v>
      </c>
      <c r="D42" s="68">
        <f t="shared" ref="D42" si="32">(D41-C41)/C41</f>
        <v>8.9938167509836991E-2</v>
      </c>
      <c r="E42" s="68">
        <f t="shared" ref="E42" si="33">(E41-D41)/D41</f>
        <v>3.0943785456420837E-3</v>
      </c>
      <c r="F42" s="68">
        <f t="shared" ref="F42" si="34">(F41-E41)/E41</f>
        <v>7.3521850899742933E-2</v>
      </c>
      <c r="G42" s="73">
        <f t="shared" ref="G42" si="35">(G41-F41)/F41</f>
        <v>0.3256166774425287</v>
      </c>
      <c r="H42" s="69">
        <f t="shared" ref="H42" si="36">(H41-G41)/G41</f>
        <v>0.47600000000000003</v>
      </c>
      <c r="I42" s="69">
        <f t="shared" ref="I42" si="37">(I41-H41)/H41</f>
        <v>0.3000000000000001</v>
      </c>
      <c r="J42" s="69">
        <f t="shared" ref="J42" si="38">(J41-I41)/I41</f>
        <v>0.12</v>
      </c>
      <c r="K42" s="69">
        <f t="shared" ref="K42" si="39">(K41-J41)/J41</f>
        <v>8.0000000000000127E-2</v>
      </c>
      <c r="L42" s="69">
        <f t="shared" ref="L42" si="40">(L41-K41)/K41</f>
        <v>5.1999999999999977E-2</v>
      </c>
      <c r="M42" s="69">
        <f t="shared" ref="M42" si="41">(M41-L41)/L41</f>
        <v>5.2000000000000046E-2</v>
      </c>
      <c r="N42" s="87"/>
    </row>
    <row r="43" spans="1:14" x14ac:dyDescent="0.25">
      <c r="A43" s="87"/>
      <c r="B43" s="48" t="s">
        <v>5</v>
      </c>
      <c r="C43" s="67">
        <f>C41/C20</f>
        <v>0.23135444437219585</v>
      </c>
      <c r="D43" s="67">
        <f>D41/D20</f>
        <v>0.49909909909909911</v>
      </c>
      <c r="E43" s="67">
        <f>E41/E20</f>
        <v>0.30982437975389271</v>
      </c>
      <c r="F43" s="67">
        <f>F41/F20</f>
        <v>0.22344694740221521</v>
      </c>
      <c r="G43" s="70">
        <v>0.15</v>
      </c>
      <c r="H43" s="67">
        <v>0.18</v>
      </c>
      <c r="I43" s="67">
        <v>0.2</v>
      </c>
      <c r="J43" s="67">
        <v>0.2</v>
      </c>
      <c r="K43" s="67">
        <v>0.2</v>
      </c>
      <c r="L43" s="67">
        <v>0.2</v>
      </c>
      <c r="M43" s="67">
        <v>0.2</v>
      </c>
      <c r="N43" s="87"/>
    </row>
    <row r="44" spans="1:14" x14ac:dyDescent="0.25">
      <c r="A44" s="87"/>
      <c r="C44" s="67"/>
      <c r="D44" s="67"/>
      <c r="E44" s="67"/>
      <c r="F44" s="67"/>
      <c r="G44" s="70"/>
      <c r="H44" s="67"/>
      <c r="I44" s="67"/>
      <c r="J44" s="67"/>
      <c r="K44" s="67"/>
      <c r="L44" s="67"/>
      <c r="M44" s="67"/>
      <c r="N44" s="87"/>
    </row>
    <row r="45" spans="1:14" x14ac:dyDescent="0.25">
      <c r="A45" s="87"/>
      <c r="B45" s="48" t="s">
        <v>4</v>
      </c>
      <c r="C45" s="64">
        <f>'Cash Flow Statement'!F19</f>
        <v>-12067</v>
      </c>
      <c r="D45" s="64">
        <f>'Cash Flow Statement'!G19</f>
        <v>-7676</v>
      </c>
      <c r="E45" s="64">
        <f>'Cash Flow Statement'!H19</f>
        <v>-8386</v>
      </c>
      <c r="F45" s="64">
        <f>'Cash Flow Statement'!I19</f>
        <v>-15857</v>
      </c>
      <c r="G45" s="74">
        <f t="shared" ref="G45:M45" si="42">G20*G47</f>
        <v>20666.894248000001</v>
      </c>
      <c r="H45" s="75">
        <f t="shared" si="42"/>
        <v>27236.014205399999</v>
      </c>
      <c r="I45" s="75">
        <f t="shared" si="42"/>
        <v>33990.545728339202</v>
      </c>
      <c r="J45" s="75">
        <f t="shared" si="42"/>
        <v>38069.411215739907</v>
      </c>
      <c r="K45" s="75">
        <f t="shared" si="42"/>
        <v>41114.964112999107</v>
      </c>
      <c r="L45" s="75">
        <f t="shared" si="42"/>
        <v>43252.942246875056</v>
      </c>
      <c r="M45" s="75">
        <f t="shared" si="42"/>
        <v>45502.09524371256</v>
      </c>
      <c r="N45" s="87"/>
    </row>
    <row r="46" spans="1:14" ht="16" customHeight="1" x14ac:dyDescent="0.25">
      <c r="A46" s="87"/>
      <c r="B46" s="76" t="s">
        <v>124</v>
      </c>
      <c r="C46" s="68">
        <f>(C45-'Cash Flow Statement'!E19)/'Cash Flow Statement'!E19</f>
        <v>0.20309072781655035</v>
      </c>
      <c r="D46" s="68">
        <f t="shared" ref="D46" si="43">(D45-C45)/C45</f>
        <v>-0.36388497555316152</v>
      </c>
      <c r="E46" s="68">
        <f t="shared" ref="E46" si="44">(E45-D45)/D45</f>
        <v>9.2496091714434597E-2</v>
      </c>
      <c r="F46" s="68">
        <f t="shared" ref="F46" si="45">(F45-E45)/E45</f>
        <v>0.89088957786787504</v>
      </c>
      <c r="G46" s="73">
        <f t="shared" ref="G46" si="46">(G45-F45)/F45</f>
        <v>-2.3033293969855584</v>
      </c>
      <c r="H46" s="69">
        <f t="shared" ref="H46" si="47">(H45-G45)/G45</f>
        <v>0.31785714285714278</v>
      </c>
      <c r="I46" s="69">
        <f t="shared" ref="I46" si="48">(I45-H45)/H45</f>
        <v>0.24800000000000014</v>
      </c>
      <c r="J46" s="69">
        <f t="shared" ref="J46" si="49">(J45-I45)/I45</f>
        <v>0.12</v>
      </c>
      <c r="K46" s="69">
        <f t="shared" ref="K46" si="50">(K45-J45)/J45</f>
        <v>8.0000000000000196E-2</v>
      </c>
      <c r="L46" s="69">
        <f t="shared" ref="L46" si="51">(L45-K45)/K45</f>
        <v>5.19999999999999E-2</v>
      </c>
      <c r="M46" s="69">
        <f t="shared" ref="M46" si="52">(M45-L45)/L45</f>
        <v>5.2000000000000011E-2</v>
      </c>
      <c r="N46" s="87"/>
    </row>
    <row r="47" spans="1:14" x14ac:dyDescent="0.25">
      <c r="A47" s="87"/>
      <c r="B47" s="48" t="s">
        <v>125</v>
      </c>
      <c r="C47" s="67">
        <f>C45/-C20</f>
        <v>0.39232069705442485</v>
      </c>
      <c r="D47" s="67">
        <f>D45/-D20</f>
        <v>0.49395109395109393</v>
      </c>
      <c r="E47" s="67">
        <f>E45/-E20</f>
        <v>0.33395722989924737</v>
      </c>
      <c r="F47" s="67">
        <f>F45/-F20</f>
        <v>0.42423350634062817</v>
      </c>
      <c r="G47" s="70">
        <v>0.28000000000000003</v>
      </c>
      <c r="H47" s="67">
        <v>0.3</v>
      </c>
      <c r="I47" s="67">
        <v>0.32</v>
      </c>
      <c r="J47" s="67">
        <v>0.32</v>
      </c>
      <c r="K47" s="67">
        <v>0.32</v>
      </c>
      <c r="L47" s="67">
        <v>0.32</v>
      </c>
      <c r="M47" s="67">
        <v>0.32</v>
      </c>
      <c r="N47" s="87"/>
    </row>
    <row r="48" spans="1:14" x14ac:dyDescent="0.25">
      <c r="A48" s="87"/>
      <c r="C48" s="67"/>
      <c r="D48" s="67"/>
      <c r="E48" s="67"/>
      <c r="F48" s="67"/>
      <c r="G48" s="70"/>
      <c r="H48" s="67"/>
      <c r="I48" s="67"/>
      <c r="J48" s="67"/>
      <c r="K48" s="67"/>
      <c r="L48" s="67"/>
      <c r="M48" s="67"/>
      <c r="N48" s="87"/>
    </row>
    <row r="49" spans="1:14" x14ac:dyDescent="0.25">
      <c r="A49" s="87"/>
      <c r="B49" s="48" t="s">
        <v>129</v>
      </c>
      <c r="C49" s="64">
        <f>'Cash Flow Statement'!F11</f>
        <v>-1263</v>
      </c>
      <c r="D49" s="64">
        <f>'Cash Flow Statement'!G11</f>
        <v>-2892</v>
      </c>
      <c r="E49" s="64">
        <f>'Cash Flow Statement'!H11</f>
        <v>-884</v>
      </c>
      <c r="F49" s="64">
        <f>'Cash Flow Statement'!I11</f>
        <v>-338</v>
      </c>
      <c r="G49" s="74">
        <f t="shared" ref="G49:M49" si="53">G20*G50</f>
        <v>-1476.2067319999999</v>
      </c>
      <c r="H49" s="75">
        <f t="shared" si="53"/>
        <v>-1815.73428036</v>
      </c>
      <c r="I49" s="75">
        <f t="shared" si="53"/>
        <v>-2124.4091080212002</v>
      </c>
      <c r="J49" s="75">
        <f t="shared" si="53"/>
        <v>-2379.3382009837442</v>
      </c>
      <c r="K49" s="75">
        <f t="shared" si="53"/>
        <v>-2569.6852570624442</v>
      </c>
      <c r="L49" s="75">
        <f t="shared" si="53"/>
        <v>-2703.308890429691</v>
      </c>
      <c r="M49" s="75">
        <f t="shared" si="53"/>
        <v>-2843.880952732035</v>
      </c>
      <c r="N49" s="87"/>
    </row>
    <row r="50" spans="1:14" x14ac:dyDescent="0.25">
      <c r="A50" s="87"/>
      <c r="B50" s="48" t="s">
        <v>5</v>
      </c>
      <c r="C50" s="67">
        <f>C49/-C20</f>
        <v>4.1062487808049941E-2</v>
      </c>
      <c r="D50" s="67">
        <f>D49/-D20</f>
        <v>0.18610038610038609</v>
      </c>
      <c r="E50" s="67">
        <f>E49/-E20</f>
        <v>3.5203695591573415E-2</v>
      </c>
      <c r="F50" s="67">
        <f>F49/-F20</f>
        <v>9.0427524212103368E-3</v>
      </c>
      <c r="G50" s="70">
        <v>-0.02</v>
      </c>
      <c r="H50" s="67">
        <v>-0.02</v>
      </c>
      <c r="I50" s="67">
        <v>-0.02</v>
      </c>
      <c r="J50" s="67">
        <v>-0.02</v>
      </c>
      <c r="K50" s="67">
        <v>-0.02</v>
      </c>
      <c r="L50" s="67">
        <v>-0.02</v>
      </c>
      <c r="M50" s="67">
        <v>-0.02</v>
      </c>
      <c r="N50" s="87"/>
    </row>
    <row r="51" spans="1:14" x14ac:dyDescent="0.25">
      <c r="A51" s="87"/>
      <c r="C51" s="67"/>
      <c r="D51" s="67"/>
      <c r="E51" s="67"/>
      <c r="F51" s="67"/>
      <c r="G51" s="70"/>
      <c r="H51" s="67"/>
      <c r="I51" s="67"/>
      <c r="J51" s="67"/>
      <c r="K51" s="67"/>
      <c r="L51" s="67"/>
      <c r="M51" s="67"/>
      <c r="N51" s="87"/>
    </row>
    <row r="52" spans="1:14" x14ac:dyDescent="0.25">
      <c r="A52" s="87"/>
      <c r="B52" s="48" t="s">
        <v>78</v>
      </c>
      <c r="C52" s="72">
        <f>'Income Statement'!F24</f>
        <v>-888</v>
      </c>
      <c r="D52" s="72">
        <f>'Income Statement'!G24</f>
        <v>-177</v>
      </c>
      <c r="E52" s="72">
        <f>'Income Statement'!H24</f>
        <v>-451</v>
      </c>
      <c r="F52" s="72">
        <f>'Income Statement'!I24</f>
        <v>-1124</v>
      </c>
      <c r="G52" s="74">
        <f t="shared" ref="G52:M52" si="54">G20*G53</f>
        <v>11440.602172999999</v>
      </c>
      <c r="H52" s="75">
        <f t="shared" si="54"/>
        <v>19065.209943779999</v>
      </c>
      <c r="I52" s="75">
        <f t="shared" si="54"/>
        <v>22306.295634222599</v>
      </c>
      <c r="J52" s="75">
        <f t="shared" si="54"/>
        <v>24983.051110329314</v>
      </c>
      <c r="K52" s="75">
        <f t="shared" si="54"/>
        <v>26981.69519915566</v>
      </c>
      <c r="L52" s="75">
        <f t="shared" si="54"/>
        <v>28384.743349511755</v>
      </c>
      <c r="M52" s="75">
        <f t="shared" si="54"/>
        <v>29860.750003686368</v>
      </c>
      <c r="N52" s="87"/>
    </row>
    <row r="53" spans="1:14" x14ac:dyDescent="0.25">
      <c r="A53" s="87"/>
      <c r="B53" s="48" t="s">
        <v>130</v>
      </c>
      <c r="C53" s="77"/>
      <c r="D53" s="77"/>
      <c r="E53" s="77"/>
      <c r="F53" s="77"/>
      <c r="G53" s="70">
        <v>0.155</v>
      </c>
      <c r="H53" s="67">
        <v>0.21</v>
      </c>
      <c r="I53" s="67">
        <v>0.21</v>
      </c>
      <c r="J53" s="67">
        <v>0.21</v>
      </c>
      <c r="K53" s="67">
        <v>0.21</v>
      </c>
      <c r="L53" s="67">
        <v>0.21</v>
      </c>
      <c r="M53" s="67">
        <v>0.21</v>
      </c>
      <c r="N53" s="87"/>
    </row>
    <row r="54" spans="1:14" x14ac:dyDescent="0.25">
      <c r="A54" s="87"/>
      <c r="G54" s="62"/>
      <c r="N54" s="87"/>
    </row>
    <row r="55" spans="1:14" ht="20" thickBot="1" x14ac:dyDescent="0.3">
      <c r="A55" s="87"/>
      <c r="B55" s="48" t="s">
        <v>122</v>
      </c>
      <c r="C55" s="64">
        <f>'Income Statement'!F26</f>
        <v>8687</v>
      </c>
      <c r="D55" s="64">
        <f>'Income Statement'!G26</f>
        <v>-5833</v>
      </c>
      <c r="E55" s="64">
        <f>'Income Statement'!H26</f>
        <v>778</v>
      </c>
      <c r="F55" s="64">
        <f>'Income Statement'!I26</f>
        <v>8539</v>
      </c>
      <c r="G55" s="65">
        <f t="shared" ref="G55:M55" si="55">G33*(1-G53)</f>
        <v>38673.314098899995</v>
      </c>
      <c r="H55" s="66">
        <f t="shared" si="55"/>
        <v>41598.4723630476</v>
      </c>
      <c r="I55" s="66">
        <f t="shared" si="55"/>
        <v>46152.787871760564</v>
      </c>
      <c r="J55" s="66">
        <f t="shared" si="55"/>
        <v>54510.638184537573</v>
      </c>
      <c r="K55" s="66">
        <f t="shared" si="55"/>
        <v>62931.591945459244</v>
      </c>
      <c r="L55" s="66">
        <f t="shared" si="55"/>
        <v>66204.034726623126</v>
      </c>
      <c r="M55" s="66">
        <f t="shared" si="55"/>
        <v>69646.644532407547</v>
      </c>
      <c r="N55" s="87"/>
    </row>
    <row r="56" spans="1:14" ht="20" thickTop="1" x14ac:dyDescent="0.25">
      <c r="A56" s="87"/>
      <c r="B56" s="48" t="s">
        <v>1</v>
      </c>
      <c r="C56" s="68">
        <f>(C55-'Income Statement'!E26)/'Income Statement'!E26</f>
        <v>0.48217027810953761</v>
      </c>
      <c r="D56" s="68">
        <f>(D55-C55)/C55</f>
        <v>-1.6714631057902614</v>
      </c>
      <c r="E56" s="68">
        <f t="shared" ref="E56:M56" si="56">(E55-D55)/D55</f>
        <v>-1.1333790502314418</v>
      </c>
      <c r="F56" s="68">
        <f t="shared" si="56"/>
        <v>9.9755784061696655</v>
      </c>
      <c r="G56" s="73">
        <f t="shared" si="56"/>
        <v>3.5290214426630748</v>
      </c>
      <c r="H56" s="69">
        <f t="shared" si="56"/>
        <v>7.5637641415138165E-2</v>
      </c>
      <c r="I56" s="69">
        <f t="shared" si="56"/>
        <v>0.1094827586206895</v>
      </c>
      <c r="J56" s="69">
        <f t="shared" si="56"/>
        <v>0.18109090909090919</v>
      </c>
      <c r="K56" s="69">
        <f t="shared" si="56"/>
        <v>0.15448275862068975</v>
      </c>
      <c r="L56" s="69">
        <f t="shared" si="56"/>
        <v>5.2000000000000011E-2</v>
      </c>
      <c r="M56" s="69">
        <f t="shared" si="56"/>
        <v>5.2000000000000282E-2</v>
      </c>
      <c r="N56" s="87"/>
    </row>
    <row r="57" spans="1:14" x14ac:dyDescent="0.25">
      <c r="A57" s="87"/>
      <c r="B57" s="48" t="s">
        <v>5</v>
      </c>
      <c r="C57" s="67">
        <f t="shared" ref="C57:M57" si="57">C55/C20</f>
        <v>0.28243058716431496</v>
      </c>
      <c r="D57" s="67">
        <f t="shared" si="57"/>
        <v>-0.37535392535392537</v>
      </c>
      <c r="E57" s="67">
        <f t="shared" si="57"/>
        <v>3.0982437975389271E-2</v>
      </c>
      <c r="F57" s="67">
        <f t="shared" si="57"/>
        <v>0.22844989030980792</v>
      </c>
      <c r="G57" s="70">
        <f t="shared" si="57"/>
        <v>0.52395525993170988</v>
      </c>
      <c r="H57" s="67">
        <f t="shared" si="57"/>
        <v>0.4582</v>
      </c>
      <c r="I57" s="67">
        <f t="shared" si="57"/>
        <v>0.43449999999999994</v>
      </c>
      <c r="J57" s="67">
        <f t="shared" si="57"/>
        <v>0.45819999999999994</v>
      </c>
      <c r="K57" s="67">
        <f t="shared" si="57"/>
        <v>0.4897999999999999</v>
      </c>
      <c r="L57" s="67">
        <f t="shared" si="57"/>
        <v>0.48979999999999996</v>
      </c>
      <c r="M57" s="67">
        <f t="shared" si="57"/>
        <v>0.48980000000000007</v>
      </c>
      <c r="N57" s="87"/>
    </row>
    <row r="58" spans="1:14" x14ac:dyDescent="0.25">
      <c r="A58" s="87"/>
      <c r="G58" s="62"/>
      <c r="N58" s="87"/>
    </row>
    <row r="59" spans="1:14" ht="20" thickBot="1" x14ac:dyDescent="0.3">
      <c r="A59" s="87"/>
      <c r="B59" s="48" t="s">
        <v>126</v>
      </c>
      <c r="C59" s="64">
        <f>'Cash Flow Statement'!F40</f>
        <v>1851</v>
      </c>
      <c r="D59" s="64">
        <f>'Cash Flow Statement'!G40</f>
        <v>-9009</v>
      </c>
      <c r="E59" s="64">
        <f>'Cash Flow Statement'!H40</f>
        <v>-763</v>
      </c>
      <c r="F59" s="64">
        <f>'Cash Flow Statement'!I40</f>
        <v>1330</v>
      </c>
      <c r="G59" s="65">
        <f>G55+G41-G45+G49</f>
        <v>27601.763608899997</v>
      </c>
      <c r="H59" s="66">
        <f t="shared" ref="H59:M59" si="58">H55+H41-H45+H49</f>
        <v>28888.332400527601</v>
      </c>
      <c r="I59" s="66">
        <f t="shared" si="58"/>
        <v>31281.924115612164</v>
      </c>
      <c r="J59" s="66">
        <f t="shared" si="58"/>
        <v>37855.270777651363</v>
      </c>
      <c r="K59" s="66">
        <f t="shared" si="58"/>
        <v>44943.795146022137</v>
      </c>
      <c r="L59" s="66">
        <f t="shared" si="58"/>
        <v>47280.872493615287</v>
      </c>
      <c r="M59" s="66">
        <f t="shared" si="58"/>
        <v>49739.477863283304</v>
      </c>
      <c r="N59" s="87"/>
    </row>
    <row r="60" spans="1:14" ht="20" thickTop="1" x14ac:dyDescent="0.25">
      <c r="A60" s="87"/>
      <c r="B60" s="48" t="s">
        <v>1</v>
      </c>
      <c r="C60" s="68">
        <f>(C59-'Cash Flow Statement'!E40)/'Cash Flow Statement'!E40</f>
        <v>-7.3573573573573567E-2</v>
      </c>
      <c r="D60" s="68">
        <f>(D59-C59)/C59</f>
        <v>-5.8670988654781198</v>
      </c>
      <c r="E60" s="68">
        <f t="shared" ref="E60" si="59">(E59-D59)/D59</f>
        <v>-0.91530691530691533</v>
      </c>
      <c r="F60" s="69">
        <f>(F59-E59)/E59</f>
        <v>-2.7431192660550461</v>
      </c>
      <c r="G60" s="73">
        <f t="shared" ref="G60:M60" si="60">(G59-F59)/F59</f>
        <v>19.753205720977441</v>
      </c>
      <c r="H60" s="69">
        <f t="shared" si="60"/>
        <v>4.6611832847259026E-2</v>
      </c>
      <c r="I60" s="69">
        <f t="shared" si="60"/>
        <v>8.2856693903205297E-2</v>
      </c>
      <c r="J60" s="69">
        <f t="shared" si="60"/>
        <v>0.21013242784380315</v>
      </c>
      <c r="K60" s="69">
        <f t="shared" si="60"/>
        <v>0.18725329981143946</v>
      </c>
      <c r="L60" s="69">
        <f t="shared" si="60"/>
        <v>5.1999999999999956E-2</v>
      </c>
      <c r="M60" s="69">
        <f t="shared" si="60"/>
        <v>5.2000000000000476E-2</v>
      </c>
      <c r="N60" s="87"/>
    </row>
    <row r="61" spans="1:14" x14ac:dyDescent="0.25">
      <c r="A61" s="87"/>
      <c r="B61" s="48" t="s">
        <v>5</v>
      </c>
      <c r="C61" s="67">
        <f t="shared" ref="C61:M61" si="61">C59/C20</f>
        <v>6.0179465504909289E-2</v>
      </c>
      <c r="D61" s="67">
        <f t="shared" si="61"/>
        <v>-0.57972972972972969</v>
      </c>
      <c r="E61" s="67">
        <f t="shared" si="61"/>
        <v>-3.0385090199514159E-2</v>
      </c>
      <c r="F61" s="67">
        <f t="shared" si="61"/>
        <v>3.5582428166301035E-2</v>
      </c>
      <c r="G61" s="70">
        <f t="shared" si="61"/>
        <v>0.37395525993170986</v>
      </c>
      <c r="H61" s="67">
        <f t="shared" si="61"/>
        <v>0.31820000000000004</v>
      </c>
      <c r="I61" s="67">
        <f t="shared" si="61"/>
        <v>0.29449999999999993</v>
      </c>
      <c r="J61" s="67">
        <f t="shared" si="61"/>
        <v>0.31819999999999993</v>
      </c>
      <c r="K61" s="67">
        <f t="shared" si="61"/>
        <v>0.34979999999999994</v>
      </c>
      <c r="L61" s="67">
        <f t="shared" si="61"/>
        <v>0.34979999999999994</v>
      </c>
      <c r="M61" s="67">
        <f t="shared" si="61"/>
        <v>0.34980000000000006</v>
      </c>
      <c r="N61" s="87"/>
    </row>
    <row r="62" spans="1:14" x14ac:dyDescent="0.25">
      <c r="A62" s="87"/>
      <c r="B62" s="87"/>
      <c r="C62" s="89"/>
      <c r="D62" s="89"/>
      <c r="E62" s="89"/>
      <c r="F62" s="89"/>
      <c r="G62" s="90"/>
      <c r="H62" s="89"/>
      <c r="I62" s="89"/>
      <c r="J62" s="89"/>
      <c r="K62" s="89"/>
      <c r="L62" s="89"/>
      <c r="M62" s="89"/>
      <c r="N62" s="87"/>
    </row>
    <row r="63" spans="1:14" x14ac:dyDescent="0.25">
      <c r="C63" s="67"/>
      <c r="D63" s="67"/>
      <c r="E63" s="67"/>
      <c r="F63" s="67"/>
      <c r="G63" s="70"/>
      <c r="H63" s="67"/>
      <c r="I63" s="67"/>
      <c r="J63" s="67"/>
      <c r="K63" s="67"/>
      <c r="L63" s="67"/>
      <c r="M63" s="67"/>
    </row>
    <row r="64" spans="1:14" x14ac:dyDescent="0.25">
      <c r="A64" s="78"/>
      <c r="B64" s="78" t="s">
        <v>137</v>
      </c>
      <c r="C64" s="79"/>
      <c r="D64" s="79"/>
      <c r="E64" s="79"/>
      <c r="F64" s="79"/>
      <c r="G64" s="80" t="s">
        <v>113</v>
      </c>
      <c r="H64" s="81" t="s">
        <v>114</v>
      </c>
      <c r="I64" s="81" t="s">
        <v>115</v>
      </c>
      <c r="J64" s="81" t="s">
        <v>116</v>
      </c>
      <c r="K64" s="81" t="s">
        <v>117</v>
      </c>
      <c r="L64" s="81" t="s">
        <v>118</v>
      </c>
      <c r="M64" s="81" t="s">
        <v>119</v>
      </c>
      <c r="N64" s="78"/>
    </row>
    <row r="65" spans="1:14" x14ac:dyDescent="0.25">
      <c r="A65" s="78"/>
      <c r="G65" s="62"/>
      <c r="N65" s="78"/>
    </row>
    <row r="66" spans="1:14" ht="20" thickBot="1" x14ac:dyDescent="0.3">
      <c r="A66" s="78"/>
      <c r="B66" s="48" t="s">
        <v>138</v>
      </c>
      <c r="G66" s="65">
        <f ca="1">G59*G68</f>
        <v>26110.048639100612</v>
      </c>
      <c r="H66" s="66">
        <f t="shared" ref="H66:M66" ca="1" si="62">H59*H68</f>
        <v>24453.161651444909</v>
      </c>
      <c r="I66" s="66">
        <f t="shared" ca="1" si="62"/>
        <v>23694.508358781048</v>
      </c>
      <c r="J66" s="66">
        <f t="shared" ca="1" si="62"/>
        <v>25657.970308045333</v>
      </c>
      <c r="K66" s="66">
        <f t="shared" ca="1" si="62"/>
        <v>27258.84066150037</v>
      </c>
      <c r="L66" s="66">
        <f t="shared" ca="1" si="62"/>
        <v>25660.482504462492</v>
      </c>
      <c r="M66" s="66">
        <f t="shared" ca="1" si="62"/>
        <v>24155.846190913653</v>
      </c>
      <c r="N66" s="78"/>
    </row>
    <row r="67" spans="1:14" ht="20" thickTop="1" x14ac:dyDescent="0.25">
      <c r="A67" s="78"/>
      <c r="B67" s="48" t="s">
        <v>83</v>
      </c>
      <c r="C67" s="82">
        <f ca="1" xml:space="preserve"> (M59 * (1 + $C$14)) / ($C$13- $C$14)</f>
        <v>551002.09571443999</v>
      </c>
      <c r="F67" s="72"/>
      <c r="G67" s="62"/>
      <c r="N67" s="78"/>
    </row>
    <row r="68" spans="1:14" x14ac:dyDescent="0.25">
      <c r="A68" s="78"/>
      <c r="B68" s="48" t="s">
        <v>131</v>
      </c>
      <c r="C68" s="67"/>
      <c r="F68" s="67"/>
      <c r="G68" s="62">
        <f ca="1" xml:space="preserve"> 1 / (1 + $C$13)^0.5</f>
        <v>0.94595580952956237</v>
      </c>
      <c r="H68" s="48">
        <f ca="1" xml:space="preserve"> 1 / (1 + $C$13)^1.5</f>
        <v>0.84647190126482719</v>
      </c>
      <c r="I68" s="48">
        <f ca="1" xml:space="preserve"> 1 / (1 + $C$13)^2.5</f>
        <v>0.75745047750932959</v>
      </c>
      <c r="J68" s="48">
        <f ca="1" xml:space="preserve"> 1 / (1 + $C$13)^3.5</f>
        <v>0.67779122381005508</v>
      </c>
      <c r="K68" s="48">
        <f ca="1" xml:space="preserve"> 1 / (1 + $C$13)^4.5</f>
        <v>0.60650954315131933</v>
      </c>
      <c r="L68" s="48">
        <f ca="1" xml:space="preserve"> 1 / (1 + $C$13)^5.5</f>
        <v>0.5427243862288631</v>
      </c>
      <c r="M68" s="48">
        <f ca="1" xml:space="preserve"> 1 / (1 + $C$13)^6.5</f>
        <v>0.48564736158489152</v>
      </c>
      <c r="N68" s="78"/>
    </row>
    <row r="69" spans="1:14" x14ac:dyDescent="0.25">
      <c r="A69" s="78"/>
      <c r="B69" s="48" t="s">
        <v>133</v>
      </c>
      <c r="C69" s="82">
        <f ca="1">SUM(G66:M66)</f>
        <v>176990.85831424844</v>
      </c>
      <c r="F69" s="72"/>
      <c r="G69" s="62"/>
      <c r="N69" s="78"/>
    </row>
    <row r="70" spans="1:14" x14ac:dyDescent="0.25">
      <c r="A70" s="78"/>
      <c r="B70" s="48" t="s">
        <v>132</v>
      </c>
      <c r="C70" s="82">
        <f ca="1">C67/(1+$C$13)^7</f>
        <v>253130.88240692674</v>
      </c>
      <c r="F70" s="72"/>
      <c r="G70" s="62"/>
      <c r="N70" s="78"/>
    </row>
    <row r="71" spans="1:14" x14ac:dyDescent="0.25">
      <c r="A71" s="78"/>
      <c r="B71" s="48" t="s">
        <v>134</v>
      </c>
      <c r="C71" s="82">
        <f ca="1">C70+C69</f>
        <v>430121.74072117521</v>
      </c>
      <c r="F71" s="72"/>
      <c r="G71" s="62"/>
      <c r="N71" s="78"/>
    </row>
    <row r="72" spans="1:14" x14ac:dyDescent="0.25">
      <c r="A72" s="78"/>
      <c r="B72" s="48" t="s">
        <v>135</v>
      </c>
      <c r="C72" s="82">
        <f ca="1">C71-WACC!F20+9642+665</f>
        <v>425076.74072117521</v>
      </c>
      <c r="F72" s="72"/>
      <c r="G72" s="62"/>
      <c r="N72" s="78"/>
    </row>
    <row r="73" spans="1:14" x14ac:dyDescent="0.25">
      <c r="A73" s="78"/>
      <c r="B73" s="48" t="s">
        <v>136</v>
      </c>
      <c r="C73" s="82">
        <f ca="1">C72/C5</f>
        <v>378.69878657924386</v>
      </c>
      <c r="F73" s="72"/>
      <c r="G73" s="62"/>
      <c r="N73" s="78"/>
    </row>
    <row r="74" spans="1:14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6EC2-2D39-2247-BA96-CB4D0FBF9370}">
  <dimension ref="A1:A26"/>
  <sheetViews>
    <sheetView workbookViewId="0">
      <selection activeCell="A22" sqref="A22"/>
    </sheetView>
  </sheetViews>
  <sheetFormatPr baseColWidth="10" defaultRowHeight="19" x14ac:dyDescent="0.25"/>
  <cols>
    <col min="1" max="1" width="217.5" style="48" customWidth="1"/>
    <col min="2" max="16384" width="10.83203125" style="48"/>
  </cols>
  <sheetData>
    <row r="1" spans="1:1" ht="24" x14ac:dyDescent="0.3">
      <c r="A1" s="93" t="s">
        <v>147</v>
      </c>
    </row>
    <row r="2" spans="1:1" x14ac:dyDescent="0.25">
      <c r="A2" s="1" t="s">
        <v>154</v>
      </c>
    </row>
    <row r="3" spans="1:1" x14ac:dyDescent="0.25">
      <c r="A3" s="48" t="s">
        <v>155</v>
      </c>
    </row>
    <row r="4" spans="1:1" x14ac:dyDescent="0.25">
      <c r="A4" s="48" t="s">
        <v>144</v>
      </c>
    </row>
    <row r="5" spans="1:1" x14ac:dyDescent="0.25">
      <c r="A5" s="1" t="s">
        <v>145</v>
      </c>
    </row>
    <row r="7" spans="1:1" x14ac:dyDescent="0.25">
      <c r="A7" s="1" t="s">
        <v>156</v>
      </c>
    </row>
    <row r="8" spans="1:1" x14ac:dyDescent="0.25">
      <c r="A8" s="48" t="s">
        <v>146</v>
      </c>
    </row>
    <row r="9" spans="1:1" x14ac:dyDescent="0.25">
      <c r="A9" s="48" t="s">
        <v>157</v>
      </c>
    </row>
    <row r="10" spans="1:1" x14ac:dyDescent="0.25">
      <c r="A10" s="48" t="s">
        <v>148</v>
      </c>
    </row>
    <row r="11" spans="1:1" x14ac:dyDescent="0.25">
      <c r="A11" s="48" t="s">
        <v>149</v>
      </c>
    </row>
    <row r="12" spans="1:1" x14ac:dyDescent="0.25">
      <c r="A12" s="48" t="s">
        <v>150</v>
      </c>
    </row>
    <row r="14" spans="1:1" x14ac:dyDescent="0.25">
      <c r="A14" s="1" t="s">
        <v>158</v>
      </c>
    </row>
    <row r="15" spans="1:1" x14ac:dyDescent="0.25">
      <c r="A15" s="48" t="s">
        <v>159</v>
      </c>
    </row>
    <row r="16" spans="1:1" x14ac:dyDescent="0.25">
      <c r="A16" s="48" t="s">
        <v>151</v>
      </c>
    </row>
    <row r="17" spans="1:1" x14ac:dyDescent="0.25">
      <c r="A17" s="48" t="s">
        <v>152</v>
      </c>
    </row>
    <row r="19" spans="1:1" x14ac:dyDescent="0.25">
      <c r="A19" s="1" t="s">
        <v>160</v>
      </c>
    </row>
    <row r="20" spans="1:1" x14ac:dyDescent="0.25">
      <c r="A20" s="48" t="s">
        <v>161</v>
      </c>
    </row>
    <row r="21" spans="1:1" x14ac:dyDescent="0.25">
      <c r="A21" s="48" t="s">
        <v>162</v>
      </c>
    </row>
    <row r="22" spans="1:1" x14ac:dyDescent="0.25">
      <c r="A22" s="48" t="s">
        <v>153</v>
      </c>
    </row>
    <row r="24" spans="1:1" x14ac:dyDescent="0.25">
      <c r="A24" s="1" t="s">
        <v>163</v>
      </c>
    </row>
    <row r="25" spans="1:1" x14ac:dyDescent="0.25">
      <c r="A25" s="48" t="s">
        <v>164</v>
      </c>
    </row>
    <row r="26" spans="1:1" x14ac:dyDescent="0.25">
      <c r="A26" s="48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A3DA-A56A-EE45-ADDA-D28985E01C87}">
  <dimension ref="A1:F27"/>
  <sheetViews>
    <sheetView tabSelected="1" workbookViewId="0">
      <selection activeCell="F10" sqref="F10"/>
    </sheetView>
  </sheetViews>
  <sheetFormatPr baseColWidth="10" defaultRowHeight="16" x14ac:dyDescent="0.2"/>
  <cols>
    <col min="1" max="5" width="10.83203125" style="3"/>
    <col min="6" max="6" width="12.83203125" style="3" customWidth="1"/>
    <col min="7" max="16384" width="10.83203125" style="3"/>
  </cols>
  <sheetData>
    <row r="1" spans="1:6" x14ac:dyDescent="0.2">
      <c r="A1" s="2" t="s">
        <v>8</v>
      </c>
    </row>
    <row r="2" spans="1:6" s="4" customFormat="1" x14ac:dyDescent="0.2"/>
    <row r="4" spans="1:6" x14ac:dyDescent="0.2">
      <c r="B4" s="3" t="s">
        <v>6</v>
      </c>
    </row>
    <row r="5" spans="1:6" x14ac:dyDescent="0.2">
      <c r="B5" s="3" t="s">
        <v>7</v>
      </c>
    </row>
    <row r="8" spans="1:6" x14ac:dyDescent="0.2">
      <c r="B8" s="45" t="s">
        <v>8</v>
      </c>
      <c r="C8" s="46"/>
      <c r="D8" s="46"/>
      <c r="E8" s="46"/>
      <c r="F8" s="46"/>
    </row>
    <row r="9" spans="1:6" x14ac:dyDescent="0.2">
      <c r="B9" s="5"/>
      <c r="C9" s="6"/>
      <c r="D9" s="6"/>
      <c r="E9" s="6"/>
    </row>
    <row r="10" spans="1:6" x14ac:dyDescent="0.2">
      <c r="B10" s="3" t="s">
        <v>102</v>
      </c>
      <c r="C10" s="6"/>
      <c r="D10" s="6"/>
      <c r="E10" s="6"/>
      <c r="F10" s="39" cm="1" vm="1">
        <f t="array" aca="1" ref="F10" ca="1">_xlfn.TAKE(_xlfn.STOCKHISTORY("MU", TODAY()-7, TODAY()-1, 0, 0, 1), -1)</f>
        <v>1016.59</v>
      </c>
    </row>
    <row r="11" spans="1:6" x14ac:dyDescent="0.2">
      <c r="B11" s="3" t="s">
        <v>99</v>
      </c>
      <c r="F11" s="40">
        <v>1122.4666035</v>
      </c>
    </row>
    <row r="12" spans="1:6" x14ac:dyDescent="0.2">
      <c r="F12" s="38"/>
    </row>
    <row r="13" spans="1:6" x14ac:dyDescent="0.2">
      <c r="B13" s="3" t="s">
        <v>9</v>
      </c>
      <c r="F13" s="40">
        <f ca="1">F11*F10</f>
        <v>1141088.3244520652</v>
      </c>
    </row>
    <row r="14" spans="1:6" x14ac:dyDescent="0.2">
      <c r="B14" s="3" t="s">
        <v>10</v>
      </c>
      <c r="F14" s="44">
        <f ca="1">F13/$F$25</f>
        <v>0.98672477976131279</v>
      </c>
    </row>
    <row r="15" spans="1:6" x14ac:dyDescent="0.2">
      <c r="B15" s="3" t="s">
        <v>11</v>
      </c>
      <c r="F15" s="44">
        <f>F16+(F17*F18)</f>
        <v>0.11862</v>
      </c>
    </row>
    <row r="16" spans="1:6" x14ac:dyDescent="0.2">
      <c r="B16" s="3" t="s">
        <v>12</v>
      </c>
      <c r="F16" s="42">
        <v>4.1119999999999997E-2</v>
      </c>
    </row>
    <row r="17" spans="2:6" x14ac:dyDescent="0.2">
      <c r="B17" s="3" t="s">
        <v>13</v>
      </c>
      <c r="F17" s="38">
        <v>1.55</v>
      </c>
    </row>
    <row r="18" spans="2:6" x14ac:dyDescent="0.2">
      <c r="B18" s="3" t="s">
        <v>14</v>
      </c>
      <c r="F18" s="42">
        <v>0.05</v>
      </c>
    </row>
    <row r="19" spans="2:6" x14ac:dyDescent="0.2">
      <c r="F19" s="38"/>
    </row>
    <row r="20" spans="2:6" x14ac:dyDescent="0.2">
      <c r="B20" s="3" t="s">
        <v>15</v>
      </c>
      <c r="F20" s="38">
        <f>15352</f>
        <v>15352</v>
      </c>
    </row>
    <row r="21" spans="2:6" x14ac:dyDescent="0.2">
      <c r="B21" s="3" t="s">
        <v>16</v>
      </c>
      <c r="F21" s="41">
        <f ca="1">F20/F25</f>
        <v>1.3275220238687159E-2</v>
      </c>
    </row>
    <row r="22" spans="2:6" x14ac:dyDescent="0.2">
      <c r="B22" s="3" t="s">
        <v>17</v>
      </c>
      <c r="F22" s="44">
        <v>4.5999999999999999E-2</v>
      </c>
    </row>
    <row r="23" spans="2:6" x14ac:dyDescent="0.2">
      <c r="B23" s="3" t="s">
        <v>3</v>
      </c>
      <c r="F23" s="43">
        <v>0.21</v>
      </c>
    </row>
    <row r="24" spans="2:6" x14ac:dyDescent="0.2">
      <c r="F24" s="38"/>
    </row>
    <row r="25" spans="2:6" x14ac:dyDescent="0.2">
      <c r="B25" s="3" t="s">
        <v>18</v>
      </c>
      <c r="F25" s="40">
        <f ca="1">F13+F20</f>
        <v>1156440.3244520652</v>
      </c>
    </row>
    <row r="26" spans="2:6" x14ac:dyDescent="0.2">
      <c r="F26" s="38"/>
    </row>
    <row r="27" spans="2:6" x14ac:dyDescent="0.2">
      <c r="B27" s="3" t="s">
        <v>8</v>
      </c>
      <c r="F27" s="42">
        <f ca="1">F14*F15+(F21*F22*(1-F23))</f>
        <v>0.11752771487876082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F37E-7146-124A-9B18-F7C8BABBB672}">
  <dimension ref="A1:O44"/>
  <sheetViews>
    <sheetView topLeftCell="A17" workbookViewId="0">
      <selection activeCell="B43" sqref="B43"/>
    </sheetView>
  </sheetViews>
  <sheetFormatPr baseColWidth="10" defaultRowHeight="16" x14ac:dyDescent="0.2"/>
  <cols>
    <col min="1" max="1" width="53.83203125" style="17" customWidth="1"/>
    <col min="2" max="9" width="12.83203125" style="17" customWidth="1"/>
    <col min="10" max="15" width="10.83203125" style="32"/>
    <col min="16" max="16384" width="10.83203125" style="17"/>
  </cols>
  <sheetData>
    <row r="1" spans="1:9" x14ac:dyDescent="0.2">
      <c r="A1" s="35" t="s">
        <v>47</v>
      </c>
    </row>
    <row r="2" spans="1:9" x14ac:dyDescent="0.2">
      <c r="A2" s="15" cm="1" vm="1">
        <f t="array" aca="1" ref="A2" ca="1">_xlfn.TAKE(_xlfn.STOCKHISTORY("MU", TODAY()-7, TODAY()-1, 0, 0, 1), -1)</f>
        <v>1016.59</v>
      </c>
    </row>
    <row r="3" spans="1:9" x14ac:dyDescent="0.2">
      <c r="A3" s="7"/>
    </row>
    <row r="4" spans="1:9" x14ac:dyDescent="0.2">
      <c r="A4" s="18"/>
      <c r="B4" s="19" t="s">
        <v>48</v>
      </c>
      <c r="C4" s="19" t="s">
        <v>49</v>
      </c>
      <c r="D4" s="19" t="s">
        <v>50</v>
      </c>
      <c r="E4" s="19" t="s">
        <v>51</v>
      </c>
      <c r="F4" s="19" t="s">
        <v>52</v>
      </c>
      <c r="G4" s="19" t="s">
        <v>53</v>
      </c>
      <c r="H4" s="19" t="s">
        <v>54</v>
      </c>
      <c r="I4" s="19" t="s">
        <v>55</v>
      </c>
    </row>
    <row r="5" spans="1:9" x14ac:dyDescent="0.2">
      <c r="A5" s="22" t="s">
        <v>56</v>
      </c>
      <c r="B5" s="26"/>
      <c r="C5" s="26"/>
      <c r="D5" s="26"/>
      <c r="E5" s="26"/>
      <c r="F5" s="26"/>
      <c r="G5" s="26"/>
      <c r="H5" s="26"/>
      <c r="I5" s="26"/>
    </row>
    <row r="6" spans="1:9" x14ac:dyDescent="0.2">
      <c r="A6" s="13" t="s">
        <v>57</v>
      </c>
      <c r="B6" s="29">
        <f>'Income Statement'!B26</f>
        <v>14138</v>
      </c>
      <c r="C6" s="29">
        <f>'Income Statement'!C26</f>
        <v>6358</v>
      </c>
      <c r="D6" s="29">
        <f>'Income Statement'!D26</f>
        <v>2710</v>
      </c>
      <c r="E6" s="29">
        <f>'Income Statement'!E26</f>
        <v>5861</v>
      </c>
      <c r="F6" s="29">
        <f>'Income Statement'!F26</f>
        <v>8687</v>
      </c>
      <c r="G6" s="29">
        <f>'Income Statement'!G26</f>
        <v>-5833</v>
      </c>
      <c r="H6" s="29">
        <f>'Income Statement'!H26</f>
        <v>778</v>
      </c>
      <c r="I6" s="29">
        <f>'Income Statement'!I26</f>
        <v>8539</v>
      </c>
    </row>
    <row r="7" spans="1:9" x14ac:dyDescent="0.2">
      <c r="A7" s="24" t="s">
        <v>58</v>
      </c>
      <c r="B7" s="28">
        <f>'Income Statement'!B8</f>
        <v>4759</v>
      </c>
      <c r="C7" s="28">
        <f>'Income Statement'!C8</f>
        <v>5424</v>
      </c>
      <c r="D7" s="28">
        <f>'Income Statement'!D8</f>
        <v>5650</v>
      </c>
      <c r="E7" s="28">
        <f>'Income Statement'!E8</f>
        <v>6214</v>
      </c>
      <c r="F7" s="28">
        <f>'Income Statement'!F8</f>
        <v>7116</v>
      </c>
      <c r="G7" s="28">
        <f>'Income Statement'!G8</f>
        <v>7756</v>
      </c>
      <c r="H7" s="28">
        <f>'Income Statement'!H8</f>
        <v>7780</v>
      </c>
      <c r="I7" s="28">
        <f>'Income Statement'!I8</f>
        <v>8352</v>
      </c>
    </row>
    <row r="8" spans="1:9" x14ac:dyDescent="0.2">
      <c r="A8" s="33" t="s">
        <v>100</v>
      </c>
      <c r="B8" s="27">
        <v>101</v>
      </c>
      <c r="C8" s="27">
        <v>49</v>
      </c>
      <c r="D8" s="27">
        <v>26</v>
      </c>
      <c r="E8" s="27">
        <v>454</v>
      </c>
      <c r="F8" s="27">
        <v>44</v>
      </c>
      <c r="G8" s="27">
        <f>1831+101</f>
        <v>1932</v>
      </c>
      <c r="H8" s="27">
        <v>0</v>
      </c>
      <c r="I8" s="27">
        <v>0</v>
      </c>
    </row>
    <row r="9" spans="1:9" x14ac:dyDescent="0.2">
      <c r="A9" s="24" t="s">
        <v>84</v>
      </c>
      <c r="B9" s="26">
        <v>198</v>
      </c>
      <c r="C9" s="26">
        <v>243</v>
      </c>
      <c r="D9" s="26">
        <v>328</v>
      </c>
      <c r="E9" s="26">
        <v>378</v>
      </c>
      <c r="F9" s="26">
        <v>514</v>
      </c>
      <c r="G9" s="26">
        <v>596</v>
      </c>
      <c r="H9" s="26">
        <v>833</v>
      </c>
      <c r="I9" s="26">
        <v>972</v>
      </c>
    </row>
    <row r="10" spans="1:9" x14ac:dyDescent="0.2">
      <c r="A10" s="10" t="s">
        <v>85</v>
      </c>
      <c r="B10" s="27">
        <v>385</v>
      </c>
      <c r="C10" s="27">
        <v>396</v>
      </c>
      <c r="D10" s="27">
        <v>-40</v>
      </c>
      <c r="E10" s="27">
        <v>1</v>
      </c>
      <c r="F10" s="27">
        <v>83</v>
      </c>
      <c r="G10" s="27">
        <v>0</v>
      </c>
      <c r="H10" s="27">
        <v>0</v>
      </c>
      <c r="I10" s="27">
        <v>0</v>
      </c>
    </row>
    <row r="11" spans="1:9" x14ac:dyDescent="0.2">
      <c r="A11" s="24" t="s">
        <v>59</v>
      </c>
      <c r="B11" s="26">
        <f>SUM(B12:B16)</f>
        <v>-2181</v>
      </c>
      <c r="C11" s="26">
        <f t="shared" ref="C11:I11" si="0">SUM(C12:C16)</f>
        <v>719</v>
      </c>
      <c r="D11" s="26">
        <f t="shared" si="0"/>
        <v>-368</v>
      </c>
      <c r="E11" s="26">
        <f t="shared" si="0"/>
        <v>-440</v>
      </c>
      <c r="F11" s="26">
        <f t="shared" si="0"/>
        <v>-1263</v>
      </c>
      <c r="G11" s="26">
        <f t="shared" si="0"/>
        <v>-2892</v>
      </c>
      <c r="H11" s="26">
        <f t="shared" si="0"/>
        <v>-884</v>
      </c>
      <c r="I11" s="26">
        <f t="shared" si="0"/>
        <v>-338</v>
      </c>
    </row>
    <row r="12" spans="1:9" x14ac:dyDescent="0.2">
      <c r="A12" s="10" t="s">
        <v>60</v>
      </c>
      <c r="B12" s="27">
        <v>-1734</v>
      </c>
      <c r="C12" s="27">
        <v>2431</v>
      </c>
      <c r="D12" s="27">
        <v>-723</v>
      </c>
      <c r="E12" s="27">
        <v>-1446</v>
      </c>
      <c r="F12" s="27">
        <v>190</v>
      </c>
      <c r="G12" s="27">
        <v>2763</v>
      </c>
      <c r="H12" s="27">
        <v>-3581</v>
      </c>
      <c r="I12" s="27">
        <v>-1776</v>
      </c>
    </row>
    <row r="13" spans="1:9" x14ac:dyDescent="0.2">
      <c r="A13" s="20" t="s">
        <v>61</v>
      </c>
      <c r="B13" s="26">
        <v>-472</v>
      </c>
      <c r="C13" s="26">
        <v>-1528</v>
      </c>
      <c r="D13" s="26">
        <v>-489</v>
      </c>
      <c r="E13" s="26">
        <v>866</v>
      </c>
      <c r="F13" s="26">
        <v>-2179</v>
      </c>
      <c r="G13" s="26">
        <v>-3555</v>
      </c>
      <c r="H13" s="26">
        <v>-488</v>
      </c>
      <c r="I13" s="26">
        <v>520</v>
      </c>
    </row>
    <row r="14" spans="1:9" x14ac:dyDescent="0.2">
      <c r="A14" s="10" t="s">
        <v>62</v>
      </c>
      <c r="B14" s="27">
        <v>668</v>
      </c>
      <c r="C14" s="27">
        <v>-174</v>
      </c>
      <c r="D14" s="27">
        <v>725</v>
      </c>
      <c r="E14" s="27">
        <v>210</v>
      </c>
      <c r="F14" s="27">
        <v>744</v>
      </c>
      <c r="G14" s="27">
        <v>-1302</v>
      </c>
      <c r="H14" s="27">
        <v>1915</v>
      </c>
      <c r="I14" s="27">
        <v>862</v>
      </c>
    </row>
    <row r="15" spans="1:9" x14ac:dyDescent="0.2">
      <c r="A15" s="20" t="s">
        <v>86</v>
      </c>
      <c r="B15" s="26">
        <v>-378</v>
      </c>
      <c r="C15" s="26">
        <v>-160</v>
      </c>
      <c r="D15" s="26">
        <v>40</v>
      </c>
      <c r="E15" s="26">
        <v>-70</v>
      </c>
      <c r="F15" s="26">
        <v>-18</v>
      </c>
      <c r="G15" s="26">
        <f>-817+19</f>
        <v>-798</v>
      </c>
      <c r="H15" s="26">
        <f>989+281</f>
        <v>1270</v>
      </c>
      <c r="I15" s="26">
        <f>-272+328</f>
        <v>56</v>
      </c>
    </row>
    <row r="16" spans="1:9" x14ac:dyDescent="0.2">
      <c r="A16" s="10" t="s">
        <v>87</v>
      </c>
      <c r="B16" s="27">
        <v>-265</v>
      </c>
      <c r="C16" s="27">
        <v>150</v>
      </c>
      <c r="D16" s="27">
        <v>79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</row>
    <row r="17" spans="1:9" x14ac:dyDescent="0.2">
      <c r="A17" s="25" t="s">
        <v>63</v>
      </c>
      <c r="B17" s="28">
        <f>B6+SUM(B7:B16)</f>
        <v>15219</v>
      </c>
      <c r="C17" s="28">
        <f t="shared" ref="C17:I17" si="1">C6+SUM(C7:C16)</f>
        <v>13908</v>
      </c>
      <c r="D17" s="28">
        <f t="shared" si="1"/>
        <v>7938</v>
      </c>
      <c r="E17" s="28">
        <f t="shared" si="1"/>
        <v>12028</v>
      </c>
      <c r="F17" s="28">
        <f t="shared" si="1"/>
        <v>13918</v>
      </c>
      <c r="G17" s="28">
        <f t="shared" si="1"/>
        <v>-1333</v>
      </c>
      <c r="H17" s="28">
        <f t="shared" si="1"/>
        <v>7623</v>
      </c>
      <c r="I17" s="28">
        <f t="shared" si="1"/>
        <v>17187</v>
      </c>
    </row>
    <row r="18" spans="1:9" x14ac:dyDescent="0.2">
      <c r="A18" s="8" t="s">
        <v>64</v>
      </c>
      <c r="B18" s="27"/>
      <c r="C18" s="27"/>
      <c r="D18" s="27"/>
      <c r="E18" s="27"/>
      <c r="F18" s="27"/>
      <c r="G18" s="27"/>
      <c r="H18" s="27"/>
      <c r="I18" s="27"/>
    </row>
    <row r="19" spans="1:9" x14ac:dyDescent="0.2">
      <c r="A19" s="24" t="s">
        <v>65</v>
      </c>
      <c r="B19" s="28">
        <v>-8879</v>
      </c>
      <c r="C19" s="28">
        <v>-9780</v>
      </c>
      <c r="D19" s="28">
        <v>-8223</v>
      </c>
      <c r="E19" s="28">
        <v>-10030</v>
      </c>
      <c r="F19" s="28">
        <v>-12067</v>
      </c>
      <c r="G19" s="28">
        <v>-7676</v>
      </c>
      <c r="H19" s="28">
        <v>-8386</v>
      </c>
      <c r="I19" s="28">
        <v>-15857</v>
      </c>
    </row>
    <row r="20" spans="1:9" x14ac:dyDescent="0.2">
      <c r="A20" s="9" t="s">
        <v>66</v>
      </c>
      <c r="B20" s="27">
        <v>-760</v>
      </c>
      <c r="C20" s="27">
        <v>-4218</v>
      </c>
      <c r="D20" s="27">
        <v>-1857</v>
      </c>
      <c r="E20" s="27">
        <v>-3163</v>
      </c>
      <c r="F20" s="27">
        <v>-1770</v>
      </c>
      <c r="G20" s="27">
        <v>-723</v>
      </c>
      <c r="H20" s="27">
        <v>-1999</v>
      </c>
      <c r="I20" s="27">
        <v>-1890</v>
      </c>
    </row>
    <row r="21" spans="1:9" x14ac:dyDescent="0.2">
      <c r="A21" s="20" t="s">
        <v>88</v>
      </c>
      <c r="B21" s="26">
        <v>604</v>
      </c>
      <c r="C21" s="26">
        <v>1504</v>
      </c>
      <c r="D21" s="26">
        <v>1458</v>
      </c>
      <c r="E21" s="26">
        <v>856</v>
      </c>
      <c r="F21" s="26">
        <v>294</v>
      </c>
      <c r="G21" s="26">
        <v>1591</v>
      </c>
      <c r="H21" s="26">
        <v>1794</v>
      </c>
      <c r="I21" s="26">
        <v>1698</v>
      </c>
    </row>
    <row r="22" spans="1:9" x14ac:dyDescent="0.2">
      <c r="A22" s="33" t="s">
        <v>89</v>
      </c>
      <c r="B22" s="27">
        <v>320</v>
      </c>
      <c r="C22" s="27">
        <v>1541</v>
      </c>
      <c r="D22" s="27">
        <v>814</v>
      </c>
      <c r="E22" s="27">
        <v>1250</v>
      </c>
      <c r="F22" s="27">
        <v>1321</v>
      </c>
      <c r="G22" s="27">
        <v>0</v>
      </c>
      <c r="H22" s="27">
        <v>0</v>
      </c>
      <c r="I22" s="27">
        <v>0</v>
      </c>
    </row>
    <row r="23" spans="1:9" x14ac:dyDescent="0.2">
      <c r="A23" s="36" t="s">
        <v>90</v>
      </c>
      <c r="B23" s="26">
        <v>355</v>
      </c>
      <c r="C23" s="26">
        <v>748</v>
      </c>
      <c r="D23" s="26">
        <v>262</v>
      </c>
      <c r="E23" s="26">
        <v>495</v>
      </c>
      <c r="F23" s="26">
        <v>115</v>
      </c>
      <c r="G23" s="26">
        <v>710</v>
      </c>
      <c r="H23" s="26">
        <v>315</v>
      </c>
      <c r="I23" s="26">
        <v>2005</v>
      </c>
    </row>
    <row r="24" spans="1:9" x14ac:dyDescent="0.2">
      <c r="A24" s="33" t="s">
        <v>91</v>
      </c>
      <c r="B24" s="27">
        <v>144</v>
      </c>
      <c r="C24" s="27">
        <v>120</v>
      </c>
      <c r="D24" s="27">
        <v>-43</v>
      </c>
      <c r="E24" s="27">
        <v>3</v>
      </c>
      <c r="F24" s="27">
        <f>888-366</f>
        <v>522</v>
      </c>
      <c r="G24" s="27">
        <v>-93</v>
      </c>
      <c r="H24" s="27">
        <v>-33</v>
      </c>
      <c r="I24" s="27">
        <v>-43</v>
      </c>
    </row>
    <row r="25" spans="1:9" x14ac:dyDescent="0.2">
      <c r="A25" s="20" t="s">
        <v>67</v>
      </c>
      <c r="B25" s="26">
        <f>B22+B21</f>
        <v>924</v>
      </c>
      <c r="C25" s="26">
        <f t="shared" ref="C25:I25" si="2">C22+C21</f>
        <v>3045</v>
      </c>
      <c r="D25" s="26">
        <f t="shared" si="2"/>
        <v>2272</v>
      </c>
      <c r="E25" s="26">
        <f t="shared" si="2"/>
        <v>2106</v>
      </c>
      <c r="F25" s="26">
        <f t="shared" si="2"/>
        <v>1615</v>
      </c>
      <c r="G25" s="26">
        <f t="shared" si="2"/>
        <v>1591</v>
      </c>
      <c r="H25" s="26">
        <f t="shared" si="2"/>
        <v>1794</v>
      </c>
      <c r="I25" s="26">
        <f t="shared" si="2"/>
        <v>1698</v>
      </c>
    </row>
    <row r="26" spans="1:9" x14ac:dyDescent="0.2">
      <c r="A26" s="13" t="s">
        <v>68</v>
      </c>
      <c r="B26" s="29">
        <f>SUM(B19:B24)</f>
        <v>-8216</v>
      </c>
      <c r="C26" s="29">
        <f t="shared" ref="C26:I26" si="3">SUM(C19:C24)</f>
        <v>-10085</v>
      </c>
      <c r="D26" s="29">
        <f t="shared" si="3"/>
        <v>-7589</v>
      </c>
      <c r="E26" s="29">
        <f t="shared" si="3"/>
        <v>-10589</v>
      </c>
      <c r="F26" s="29">
        <f>SUM(F19:F24)</f>
        <v>-11585</v>
      </c>
      <c r="G26" s="29">
        <f t="shared" si="3"/>
        <v>-6191</v>
      </c>
      <c r="H26" s="29">
        <f t="shared" si="3"/>
        <v>-8309</v>
      </c>
      <c r="I26" s="29">
        <f t="shared" si="3"/>
        <v>-14087</v>
      </c>
    </row>
    <row r="27" spans="1:9" x14ac:dyDescent="0.2">
      <c r="A27" s="22" t="s">
        <v>69</v>
      </c>
      <c r="B27" s="26"/>
      <c r="C27" s="26"/>
      <c r="D27" s="26"/>
      <c r="E27" s="26"/>
      <c r="F27" s="26"/>
      <c r="G27" s="26"/>
      <c r="H27" s="26"/>
      <c r="I27" s="26"/>
    </row>
    <row r="28" spans="1:9" x14ac:dyDescent="0.2">
      <c r="A28" s="9" t="s">
        <v>92</v>
      </c>
      <c r="B28" s="27">
        <v>-10194</v>
      </c>
      <c r="C28" s="27">
        <v>-3340</v>
      </c>
      <c r="D28" s="27">
        <v>-4366</v>
      </c>
      <c r="E28" s="27">
        <v>-1520</v>
      </c>
      <c r="F28" s="27">
        <v>-2032</v>
      </c>
      <c r="G28" s="27">
        <v>-761</v>
      </c>
      <c r="H28" s="27">
        <v>-1897</v>
      </c>
      <c r="I28" s="27">
        <v>-4619</v>
      </c>
    </row>
    <row r="29" spans="1:9" x14ac:dyDescent="0.2">
      <c r="A29" s="20" t="s">
        <v>93</v>
      </c>
      <c r="B29" s="26">
        <v>0</v>
      </c>
      <c r="C29" s="26">
        <v>0</v>
      </c>
      <c r="D29" s="26">
        <v>-744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</row>
    <row r="30" spans="1:9" x14ac:dyDescent="0.2">
      <c r="A30" s="9" t="s">
        <v>94</v>
      </c>
      <c r="B30" s="27">
        <v>-71</v>
      </c>
      <c r="C30" s="27">
        <v>-2729</v>
      </c>
      <c r="D30" s="27">
        <v>-251</v>
      </c>
      <c r="E30" s="27">
        <v>-1200</v>
      </c>
      <c r="F30" s="27">
        <v>-2432</v>
      </c>
      <c r="G30" s="27">
        <v>-425</v>
      </c>
      <c r="H30" s="27">
        <v>-300</v>
      </c>
      <c r="I30" s="27">
        <v>0</v>
      </c>
    </row>
    <row r="31" spans="1:9" x14ac:dyDescent="0.2">
      <c r="A31" s="24" t="s">
        <v>101</v>
      </c>
      <c r="B31" s="26">
        <v>0</v>
      </c>
      <c r="C31" s="26">
        <v>0</v>
      </c>
      <c r="D31" s="26">
        <v>0</v>
      </c>
      <c r="E31" s="26">
        <v>0</v>
      </c>
      <c r="F31" s="26">
        <v>-461</v>
      </c>
      <c r="G31" s="26">
        <v>-504</v>
      </c>
      <c r="H31" s="26">
        <v>-513</v>
      </c>
      <c r="I31" s="26">
        <v>-522</v>
      </c>
    </row>
    <row r="32" spans="1:9" x14ac:dyDescent="0.2">
      <c r="A32" s="10" t="s">
        <v>95</v>
      </c>
      <c r="B32" s="27">
        <v>-206</v>
      </c>
      <c r="C32" s="27">
        <v>-75</v>
      </c>
      <c r="D32" s="27">
        <v>-63</v>
      </c>
      <c r="E32" s="27">
        <v>-295</v>
      </c>
      <c r="F32" s="27">
        <v>-141</v>
      </c>
      <c r="G32" s="27">
        <v>-138</v>
      </c>
      <c r="H32" s="27">
        <v>-149</v>
      </c>
      <c r="I32" s="27">
        <v>0</v>
      </c>
    </row>
    <row r="33" spans="1:9" x14ac:dyDescent="0.2">
      <c r="A33" s="31" t="s">
        <v>96</v>
      </c>
      <c r="B33" s="26">
        <v>1009</v>
      </c>
      <c r="C33" s="26">
        <v>3550</v>
      </c>
      <c r="D33" s="26">
        <v>5000</v>
      </c>
      <c r="E33" s="26">
        <v>1188</v>
      </c>
      <c r="F33" s="26">
        <v>2000</v>
      </c>
      <c r="G33" s="26">
        <v>6716</v>
      </c>
      <c r="H33" s="26">
        <v>999</v>
      </c>
      <c r="I33" s="26">
        <v>4430</v>
      </c>
    </row>
    <row r="34" spans="1:9" x14ac:dyDescent="0.2">
      <c r="A34" s="12" t="s">
        <v>97</v>
      </c>
      <c r="B34" s="27">
        <v>1655</v>
      </c>
      <c r="C34" s="27">
        <v>179</v>
      </c>
      <c r="D34" s="27">
        <v>225</v>
      </c>
      <c r="E34" s="27">
        <v>140</v>
      </c>
      <c r="F34" s="27">
        <v>211</v>
      </c>
      <c r="G34" s="27">
        <v>0</v>
      </c>
      <c r="H34" s="27">
        <v>0</v>
      </c>
      <c r="I34" s="27">
        <v>0</v>
      </c>
    </row>
    <row r="35" spans="1:9" x14ac:dyDescent="0.2">
      <c r="A35" s="23" t="s">
        <v>98</v>
      </c>
      <c r="B35" s="26">
        <v>31</v>
      </c>
      <c r="C35" s="26">
        <v>-23</v>
      </c>
      <c r="D35" s="26">
        <v>-118</v>
      </c>
      <c r="E35" s="26">
        <f>140-94</f>
        <v>46</v>
      </c>
      <c r="F35" s="26">
        <f>211-125</f>
        <v>86</v>
      </c>
      <c r="G35" s="26">
        <v>95</v>
      </c>
      <c r="H35" s="26">
        <v>18</v>
      </c>
      <c r="I35" s="26">
        <v>-139</v>
      </c>
    </row>
    <row r="36" spans="1:9" x14ac:dyDescent="0.2">
      <c r="A36" s="13" t="s">
        <v>70</v>
      </c>
      <c r="B36" s="29">
        <f>SUM(B28:B35)</f>
        <v>-7776</v>
      </c>
      <c r="C36" s="29">
        <f t="shared" ref="C36:I36" si="4">SUM(C28:C35)</f>
        <v>-2438</v>
      </c>
      <c r="D36" s="29">
        <f t="shared" si="4"/>
        <v>-317</v>
      </c>
      <c r="E36" s="29">
        <f>SUM(E28:E35)-E34</f>
        <v>-1781</v>
      </c>
      <c r="F36" s="29">
        <f>SUM(F28:F35)-F34</f>
        <v>-2980</v>
      </c>
      <c r="G36" s="29">
        <f t="shared" si="4"/>
        <v>4983</v>
      </c>
      <c r="H36" s="29">
        <f t="shared" si="4"/>
        <v>-1842</v>
      </c>
      <c r="I36" s="29">
        <f t="shared" si="4"/>
        <v>-850</v>
      </c>
    </row>
    <row r="37" spans="1:9" x14ac:dyDescent="0.2">
      <c r="A37" s="22" t="s">
        <v>71</v>
      </c>
      <c r="B37" s="26"/>
      <c r="C37" s="26"/>
      <c r="D37" s="26"/>
      <c r="E37" s="26"/>
      <c r="F37" s="26"/>
      <c r="G37" s="26"/>
      <c r="H37" s="26"/>
      <c r="I37" s="26"/>
    </row>
    <row r="38" spans="1:9" x14ac:dyDescent="0.2">
      <c r="A38" s="13" t="s">
        <v>72</v>
      </c>
      <c r="B38" s="27">
        <v>-37</v>
      </c>
      <c r="C38" s="27">
        <v>26</v>
      </c>
      <c r="D38" s="27">
        <v>11</v>
      </c>
      <c r="E38" s="27">
        <v>41</v>
      </c>
      <c r="F38" s="27">
        <v>-106</v>
      </c>
      <c r="G38" s="27">
        <v>-34</v>
      </c>
      <c r="H38" s="27">
        <v>40</v>
      </c>
      <c r="I38" s="27">
        <v>6</v>
      </c>
    </row>
    <row r="39" spans="1:9" x14ac:dyDescent="0.2">
      <c r="A39" s="25" t="s">
        <v>73</v>
      </c>
      <c r="B39" s="26">
        <f>B17+B26+B36+B38</f>
        <v>-810</v>
      </c>
      <c r="C39" s="26">
        <f t="shared" ref="C39:I39" si="5">C17+C26+C36+C38</f>
        <v>1411</v>
      </c>
      <c r="D39" s="26">
        <f t="shared" si="5"/>
        <v>43</v>
      </c>
      <c r="E39" s="26">
        <f t="shared" si="5"/>
        <v>-301</v>
      </c>
      <c r="F39" s="26">
        <f t="shared" si="5"/>
        <v>-753</v>
      </c>
      <c r="G39" s="26">
        <f t="shared" si="5"/>
        <v>-2575</v>
      </c>
      <c r="H39" s="26">
        <f t="shared" si="5"/>
        <v>-2488</v>
      </c>
      <c r="I39" s="26">
        <f t="shared" si="5"/>
        <v>2256</v>
      </c>
    </row>
    <row r="40" spans="1:9" x14ac:dyDescent="0.2">
      <c r="A40" s="9" t="s">
        <v>74</v>
      </c>
      <c r="B40" s="29">
        <f>B17+B19</f>
        <v>6340</v>
      </c>
      <c r="C40" s="29">
        <f t="shared" ref="C40:I40" si="6">C17+C19</f>
        <v>4128</v>
      </c>
      <c r="D40" s="29">
        <f t="shared" si="6"/>
        <v>-285</v>
      </c>
      <c r="E40" s="29">
        <f t="shared" si="6"/>
        <v>1998</v>
      </c>
      <c r="F40" s="29">
        <f t="shared" si="6"/>
        <v>1851</v>
      </c>
      <c r="G40" s="29">
        <f t="shared" si="6"/>
        <v>-9009</v>
      </c>
      <c r="H40" s="29">
        <f t="shared" si="6"/>
        <v>-763</v>
      </c>
      <c r="I40" s="29">
        <f t="shared" si="6"/>
        <v>1330</v>
      </c>
    </row>
    <row r="41" spans="1:9" x14ac:dyDescent="0.2">
      <c r="A41" s="20" t="s">
        <v>75</v>
      </c>
      <c r="B41" s="37">
        <f>B40/'Income Statement'!B30</f>
        <v>5.5034722222222223</v>
      </c>
      <c r="C41" s="37">
        <f>C40/'Income Statement'!C30</f>
        <v>3.7055655296229801</v>
      </c>
      <c r="D41" s="37">
        <f>D40/'Income Statement'!D30</f>
        <v>-0.25675675675675674</v>
      </c>
      <c r="E41" s="37">
        <f>E40/'Income Statement'!E30</f>
        <v>1.7839285714285715</v>
      </c>
      <c r="F41" s="37">
        <f>F40/'Income Statement'!F30</f>
        <v>1.664568345323741</v>
      </c>
      <c r="G41" s="37">
        <f>G40/'Income Statement'!G30</f>
        <v>-8.2424519670631291</v>
      </c>
      <c r="H41" s="37">
        <f>H40/'Income Statement'!H30</f>
        <v>-0.69049773755656108</v>
      </c>
      <c r="I41" s="37">
        <f>I40/'Income Statement'!I30</f>
        <v>1.1917562724014337</v>
      </c>
    </row>
    <row r="42" spans="1:9" x14ac:dyDescent="0.2">
      <c r="A42" s="10" t="s">
        <v>76</v>
      </c>
      <c r="B42" s="34">
        <f ca="1">(B41/A2)</f>
        <v>5.4136596093038707E-3</v>
      </c>
      <c r="C42" s="34">
        <f ca="1">(C41/A2)</f>
        <v>3.645093429625493E-3</v>
      </c>
      <c r="D42" s="34">
        <f ca="1">(D41/A2)</f>
        <v>-2.5256667560841315E-4</v>
      </c>
      <c r="E42" s="34">
        <f ca="1">(E41/A2)</f>
        <v>1.7548161711492061E-3</v>
      </c>
      <c r="F42" s="34">
        <f ca="1">(F41/A2)</f>
        <v>1.6374038160160349E-3</v>
      </c>
      <c r="G42" s="34">
        <f ca="1">(G41/A2)</f>
        <v>-8.1079412221870453E-3</v>
      </c>
      <c r="H42" s="34">
        <f ca="1">(H41/A2)</f>
        <v>-6.7922932308655507E-4</v>
      </c>
      <c r="I42" s="34">
        <f ca="1">(I41/A2)</f>
        <v>1.172307687859839E-3</v>
      </c>
    </row>
    <row r="43" spans="1:9" x14ac:dyDescent="0.2">
      <c r="A43" s="30" t="s">
        <v>45</v>
      </c>
      <c r="B43" s="21"/>
      <c r="C43" s="21"/>
      <c r="D43" s="21"/>
      <c r="E43" s="21"/>
      <c r="F43" s="21"/>
      <c r="G43" s="21"/>
      <c r="H43" s="21"/>
      <c r="I43" s="21"/>
    </row>
    <row r="44" spans="1:9" x14ac:dyDescent="0.2">
      <c r="A4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96B5-61F5-4040-AB09-4E29779D659F}">
  <dimension ref="A1:I37"/>
  <sheetViews>
    <sheetView topLeftCell="A12" workbookViewId="0">
      <selection activeCell="C26" sqref="C26"/>
    </sheetView>
  </sheetViews>
  <sheetFormatPr baseColWidth="10" defaultRowHeight="16" x14ac:dyDescent="0.2"/>
  <cols>
    <col min="1" max="1" width="54.33203125" style="17" customWidth="1"/>
    <col min="2" max="2" width="12.83203125" style="17" bestFit="1" customWidth="1"/>
    <col min="3" max="9" width="11.6640625" style="17" bestFit="1" customWidth="1"/>
    <col min="10" max="16384" width="10.83203125" style="17"/>
  </cols>
  <sheetData>
    <row r="1" spans="1:9" x14ac:dyDescent="0.2">
      <c r="A1" s="16" t="s">
        <v>79</v>
      </c>
    </row>
    <row r="2" spans="1:9" x14ac:dyDescent="0.2">
      <c r="A2" s="15" cm="1" vm="1">
        <f t="array" aca="1" ref="A2" ca="1">_xlfn.TAKE(_xlfn.STOCKHISTORY("MU", TODAY()-7, TODAY()-1, 0, 0, 1), -1)</f>
        <v>1016.59</v>
      </c>
    </row>
    <row r="3" spans="1:9" x14ac:dyDescent="0.2">
      <c r="A3" s="7"/>
    </row>
    <row r="4" spans="1:9" x14ac:dyDescent="0.2">
      <c r="A4" s="18"/>
      <c r="B4" s="19" t="s">
        <v>48</v>
      </c>
      <c r="C4" s="19" t="s">
        <v>49</v>
      </c>
      <c r="D4" s="19" t="s">
        <v>50</v>
      </c>
      <c r="E4" s="19" t="s">
        <v>51</v>
      </c>
      <c r="F4" s="19" t="s">
        <v>52</v>
      </c>
      <c r="G4" s="19" t="s">
        <v>53</v>
      </c>
      <c r="H4" s="19" t="s">
        <v>54</v>
      </c>
      <c r="I4" s="19" t="s">
        <v>55</v>
      </c>
    </row>
    <row r="5" spans="1:9" x14ac:dyDescent="0.2">
      <c r="A5" s="22" t="s">
        <v>46</v>
      </c>
      <c r="B5" s="28">
        <v>30391</v>
      </c>
      <c r="C5" s="28">
        <v>23406</v>
      </c>
      <c r="D5" s="28">
        <v>21435</v>
      </c>
      <c r="E5" s="28">
        <v>27705</v>
      </c>
      <c r="F5" s="28">
        <v>30758</v>
      </c>
      <c r="G5" s="28">
        <v>15540</v>
      </c>
      <c r="H5" s="28">
        <v>25111</v>
      </c>
      <c r="I5" s="28">
        <v>37378</v>
      </c>
    </row>
    <row r="6" spans="1:9" x14ac:dyDescent="0.2">
      <c r="A6" s="9" t="s">
        <v>19</v>
      </c>
      <c r="B6" s="29">
        <v>12500</v>
      </c>
      <c r="C6" s="29">
        <v>12704</v>
      </c>
      <c r="D6" s="29">
        <v>14883</v>
      </c>
      <c r="E6" s="29">
        <v>17282</v>
      </c>
      <c r="F6" s="29">
        <v>16860</v>
      </c>
      <c r="G6" s="29">
        <v>16956</v>
      </c>
      <c r="H6" s="29">
        <v>19498</v>
      </c>
      <c r="I6" s="29">
        <v>22505</v>
      </c>
    </row>
    <row r="7" spans="1:9" x14ac:dyDescent="0.2">
      <c r="A7" s="20" t="s">
        <v>20</v>
      </c>
      <c r="B7" s="26">
        <f>B6-B8</f>
        <v>7741</v>
      </c>
      <c r="C7" s="26">
        <f t="shared" ref="C7:I7" si="0">C6-C8</f>
        <v>7280</v>
      </c>
      <c r="D7" s="26">
        <f t="shared" si="0"/>
        <v>9233</v>
      </c>
      <c r="E7" s="26">
        <f t="shared" si="0"/>
        <v>11068</v>
      </c>
      <c r="F7" s="26">
        <f t="shared" si="0"/>
        <v>9744</v>
      </c>
      <c r="G7" s="26">
        <f t="shared" si="0"/>
        <v>9200</v>
      </c>
      <c r="H7" s="26">
        <f t="shared" si="0"/>
        <v>11718</v>
      </c>
      <c r="I7" s="26">
        <f t="shared" si="0"/>
        <v>14153</v>
      </c>
    </row>
    <row r="8" spans="1:9" x14ac:dyDescent="0.2">
      <c r="A8" s="11" t="s">
        <v>21</v>
      </c>
      <c r="B8" s="29">
        <v>4759</v>
      </c>
      <c r="C8" s="29">
        <v>5424</v>
      </c>
      <c r="D8" s="29">
        <v>5650</v>
      </c>
      <c r="E8" s="29">
        <v>6214</v>
      </c>
      <c r="F8" s="29">
        <v>7116</v>
      </c>
      <c r="G8" s="27">
        <v>7756</v>
      </c>
      <c r="H8" s="27">
        <v>7780</v>
      </c>
      <c r="I8" s="27">
        <v>8352</v>
      </c>
    </row>
    <row r="9" spans="1:9" x14ac:dyDescent="0.2">
      <c r="A9" s="22" t="s">
        <v>22</v>
      </c>
      <c r="B9" s="28">
        <f>B5-B6</f>
        <v>17891</v>
      </c>
      <c r="C9" s="28">
        <f t="shared" ref="C9:I9" si="1">C5-C6</f>
        <v>10702</v>
      </c>
      <c r="D9" s="28">
        <f t="shared" si="1"/>
        <v>6552</v>
      </c>
      <c r="E9" s="28">
        <f t="shared" si="1"/>
        <v>10423</v>
      </c>
      <c r="F9" s="28">
        <f t="shared" si="1"/>
        <v>13898</v>
      </c>
      <c r="G9" s="28">
        <f t="shared" si="1"/>
        <v>-1416</v>
      </c>
      <c r="H9" s="28">
        <f t="shared" si="1"/>
        <v>5613</v>
      </c>
      <c r="I9" s="28">
        <f t="shared" si="1"/>
        <v>14873</v>
      </c>
    </row>
    <row r="10" spans="1:9" x14ac:dyDescent="0.2">
      <c r="A10" s="9" t="s">
        <v>23</v>
      </c>
      <c r="B10" s="29">
        <v>813</v>
      </c>
      <c r="C10" s="29">
        <v>836</v>
      </c>
      <c r="D10" s="29">
        <v>881</v>
      </c>
      <c r="E10" s="29">
        <v>894</v>
      </c>
      <c r="F10" s="29">
        <v>1066</v>
      </c>
      <c r="G10" s="29">
        <v>920</v>
      </c>
      <c r="H10" s="29">
        <v>1129</v>
      </c>
      <c r="I10" s="29">
        <v>1205</v>
      </c>
    </row>
    <row r="11" spans="1:9" x14ac:dyDescent="0.2">
      <c r="A11" s="20" t="s">
        <v>24</v>
      </c>
      <c r="B11" s="26">
        <v>2141</v>
      </c>
      <c r="C11" s="26">
        <v>2441</v>
      </c>
      <c r="D11" s="26">
        <v>2600</v>
      </c>
      <c r="E11" s="26">
        <v>2663</v>
      </c>
      <c r="F11" s="26">
        <v>3116</v>
      </c>
      <c r="G11" s="26">
        <v>3114</v>
      </c>
      <c r="H11" s="26">
        <v>3430</v>
      </c>
      <c r="I11" s="26">
        <v>3798</v>
      </c>
    </row>
    <row r="12" spans="1:9" x14ac:dyDescent="0.2">
      <c r="A12" s="10" t="s">
        <v>77</v>
      </c>
      <c r="B12" s="27">
        <v>-57</v>
      </c>
      <c r="C12" s="27">
        <v>49</v>
      </c>
      <c r="D12" s="27">
        <v>68</v>
      </c>
      <c r="E12" s="27">
        <v>95</v>
      </c>
      <c r="F12" s="27">
        <v>-34</v>
      </c>
      <c r="G12" s="27">
        <v>124</v>
      </c>
      <c r="H12" s="27">
        <v>-251</v>
      </c>
      <c r="I12" s="27">
        <v>61</v>
      </c>
    </row>
    <row r="13" spans="1:9" x14ac:dyDescent="0.2">
      <c r="A13" s="22" t="s">
        <v>25</v>
      </c>
      <c r="B13" s="28">
        <f>B5-B6-SUM(B10:B12)-B19</f>
        <v>14994</v>
      </c>
      <c r="C13" s="28">
        <f t="shared" ref="C13:H13" si="2">C5-C6-SUM(C10:C12)-C19</f>
        <v>7376</v>
      </c>
      <c r="D13" s="28">
        <f t="shared" si="2"/>
        <v>3003</v>
      </c>
      <c r="E13" s="28">
        <f t="shared" si="2"/>
        <v>6283</v>
      </c>
      <c r="F13" s="28">
        <f t="shared" si="2"/>
        <v>9702</v>
      </c>
      <c r="G13" s="28">
        <f t="shared" si="2"/>
        <v>-5745</v>
      </c>
      <c r="H13" s="28">
        <f t="shared" si="2"/>
        <v>1304</v>
      </c>
      <c r="I13" s="28">
        <f>I5-I6-SUM(I10:I12)-I19</f>
        <v>9770</v>
      </c>
    </row>
    <row r="14" spans="1:9" x14ac:dyDescent="0.2">
      <c r="A14" s="9" t="s">
        <v>26</v>
      </c>
      <c r="B14" s="29">
        <f>B15-B17+B16</f>
        <v>-687</v>
      </c>
      <c r="C14" s="29">
        <f t="shared" ref="C14:F14" si="3">C15-C17+C16</f>
        <v>-328</v>
      </c>
      <c r="D14" s="29">
        <f t="shared" si="3"/>
        <v>-20</v>
      </c>
      <c r="E14" s="29">
        <f>E15-E17+E16</f>
        <v>-65</v>
      </c>
      <c r="F14" s="29">
        <f t="shared" si="3"/>
        <v>-131</v>
      </c>
      <c r="G14" s="29">
        <f t="shared" ref="G14" si="4">G15-G17+G16</f>
        <v>87</v>
      </c>
      <c r="H14" s="29">
        <f t="shared" ref="H14" si="5">H15-H17+H16</f>
        <v>-64</v>
      </c>
      <c r="I14" s="29">
        <f t="shared" ref="I14" si="6">I15-I17+I16</f>
        <v>-116</v>
      </c>
    </row>
    <row r="15" spans="1:9" x14ac:dyDescent="0.2">
      <c r="A15" s="20" t="s">
        <v>27</v>
      </c>
      <c r="B15" s="26">
        <v>120</v>
      </c>
      <c r="C15" s="26">
        <v>205</v>
      </c>
      <c r="D15" s="26">
        <v>114</v>
      </c>
      <c r="E15" s="26">
        <v>37</v>
      </c>
      <c r="F15" s="26">
        <v>96</v>
      </c>
      <c r="G15" s="26">
        <v>468</v>
      </c>
      <c r="H15" s="26">
        <v>529</v>
      </c>
      <c r="I15" s="26">
        <v>496</v>
      </c>
    </row>
    <row r="16" spans="1:9" x14ac:dyDescent="0.2">
      <c r="A16" s="10" t="s">
        <v>28</v>
      </c>
      <c r="B16" s="27">
        <v>-465</v>
      </c>
      <c r="C16" s="27">
        <v>-405</v>
      </c>
      <c r="D16" s="27">
        <v>60</v>
      </c>
      <c r="E16" s="27">
        <v>81</v>
      </c>
      <c r="F16" s="27">
        <v>-38</v>
      </c>
      <c r="G16" s="27">
        <v>7</v>
      </c>
      <c r="H16" s="27">
        <v>-31</v>
      </c>
      <c r="I16" s="27">
        <v>-135</v>
      </c>
    </row>
    <row r="17" spans="1:9" x14ac:dyDescent="0.2">
      <c r="A17" s="24" t="s">
        <v>29</v>
      </c>
      <c r="B17" s="28">
        <v>342</v>
      </c>
      <c r="C17" s="28">
        <v>128</v>
      </c>
      <c r="D17" s="28">
        <v>194</v>
      </c>
      <c r="E17" s="28">
        <v>183</v>
      </c>
      <c r="F17" s="28">
        <v>189</v>
      </c>
      <c r="G17" s="28">
        <v>388</v>
      </c>
      <c r="H17" s="28">
        <v>562</v>
      </c>
      <c r="I17" s="28">
        <v>477</v>
      </c>
    </row>
    <row r="18" spans="1:9" x14ac:dyDescent="0.2">
      <c r="A18" s="10" t="s">
        <v>30</v>
      </c>
      <c r="B18" s="27">
        <f>B17-B15</f>
        <v>222</v>
      </c>
      <c r="C18" s="27">
        <f t="shared" ref="C18:I18" si="7">C17-C15</f>
        <v>-77</v>
      </c>
      <c r="D18" s="27">
        <f t="shared" si="7"/>
        <v>80</v>
      </c>
      <c r="E18" s="27">
        <f t="shared" si="7"/>
        <v>146</v>
      </c>
      <c r="F18" s="27">
        <f t="shared" si="7"/>
        <v>93</v>
      </c>
      <c r="G18" s="27">
        <f t="shared" si="7"/>
        <v>-80</v>
      </c>
      <c r="H18" s="27">
        <f t="shared" si="7"/>
        <v>33</v>
      </c>
      <c r="I18" s="27">
        <f t="shared" si="7"/>
        <v>-19</v>
      </c>
    </row>
    <row r="19" spans="1:9" x14ac:dyDescent="0.2">
      <c r="A19" s="24" t="s">
        <v>31</v>
      </c>
      <c r="B19" s="26">
        <v>0</v>
      </c>
      <c r="C19" s="26">
        <v>0</v>
      </c>
      <c r="D19" s="26">
        <v>0</v>
      </c>
      <c r="E19" s="26">
        <v>488</v>
      </c>
      <c r="F19" s="26">
        <v>48</v>
      </c>
      <c r="G19" s="26">
        <v>171</v>
      </c>
      <c r="H19" s="26">
        <v>1</v>
      </c>
      <c r="I19" s="26">
        <v>39</v>
      </c>
    </row>
    <row r="20" spans="1:9" x14ac:dyDescent="0.2">
      <c r="A20" s="11" t="s">
        <v>32</v>
      </c>
      <c r="B20" s="29">
        <f>B21+B22</f>
        <v>-17</v>
      </c>
      <c r="C20" s="29">
        <f t="shared" ref="C20:F20" si="8">C21+C22</f>
        <v>6</v>
      </c>
      <c r="D20" s="29">
        <f t="shared" si="8"/>
        <v>47</v>
      </c>
      <c r="E20" s="29">
        <f t="shared" si="8"/>
        <v>-74</v>
      </c>
      <c r="F20" s="29">
        <f t="shared" si="8"/>
        <v>-564</v>
      </c>
      <c r="G20" s="29">
        <v>6</v>
      </c>
      <c r="H20" s="29">
        <v>33</v>
      </c>
      <c r="I20" s="29">
        <v>4</v>
      </c>
    </row>
    <row r="21" spans="1:9" x14ac:dyDescent="0.2">
      <c r="A21" s="23" t="s">
        <v>33</v>
      </c>
      <c r="B21" s="26">
        <v>-2</v>
      </c>
      <c r="C21" s="26">
        <v>9</v>
      </c>
      <c r="D21" s="26">
        <v>1</v>
      </c>
      <c r="E21" s="26">
        <v>-7</v>
      </c>
      <c r="F21" s="26">
        <v>-48</v>
      </c>
      <c r="G21" s="26">
        <v>234</v>
      </c>
      <c r="H21" s="26">
        <v>142</v>
      </c>
      <c r="I21" s="26">
        <v>92</v>
      </c>
    </row>
    <row r="22" spans="1:9" x14ac:dyDescent="0.2">
      <c r="A22" s="12" t="s">
        <v>34</v>
      </c>
      <c r="B22" s="27">
        <v>-15</v>
      </c>
      <c r="C22" s="27">
        <v>-3</v>
      </c>
      <c r="D22" s="27">
        <v>46</v>
      </c>
      <c r="E22" s="27">
        <v>-67</v>
      </c>
      <c r="F22" s="27">
        <v>-516</v>
      </c>
      <c r="G22" s="27">
        <v>234</v>
      </c>
      <c r="H22" s="27">
        <v>142</v>
      </c>
      <c r="I22" s="27">
        <v>92</v>
      </c>
    </row>
    <row r="23" spans="1:9" x14ac:dyDescent="0.2">
      <c r="A23" s="22" t="s">
        <v>35</v>
      </c>
      <c r="B23" s="28">
        <f t="shared" ref="B23:I23" si="9">B13+B14</f>
        <v>14307</v>
      </c>
      <c r="C23" s="28">
        <f t="shared" si="9"/>
        <v>7048</v>
      </c>
      <c r="D23" s="28">
        <f t="shared" si="9"/>
        <v>2983</v>
      </c>
      <c r="E23" s="28">
        <f t="shared" si="9"/>
        <v>6218</v>
      </c>
      <c r="F23" s="28">
        <f t="shared" si="9"/>
        <v>9571</v>
      </c>
      <c r="G23" s="28">
        <f t="shared" si="9"/>
        <v>-5658</v>
      </c>
      <c r="H23" s="28">
        <f t="shared" si="9"/>
        <v>1240</v>
      </c>
      <c r="I23" s="28">
        <f t="shared" si="9"/>
        <v>9654</v>
      </c>
    </row>
    <row r="24" spans="1:9" x14ac:dyDescent="0.2">
      <c r="A24" s="9" t="s">
        <v>78</v>
      </c>
      <c r="B24" s="29">
        <v>-168</v>
      </c>
      <c r="C24" s="29">
        <v>-693</v>
      </c>
      <c r="D24" s="29">
        <v>-280</v>
      </c>
      <c r="E24" s="29">
        <v>-394</v>
      </c>
      <c r="F24" s="29">
        <v>-888</v>
      </c>
      <c r="G24" s="29">
        <v>-177</v>
      </c>
      <c r="H24" s="29">
        <v>-451</v>
      </c>
      <c r="I24" s="29">
        <v>-1124</v>
      </c>
    </row>
    <row r="25" spans="1:9" x14ac:dyDescent="0.2">
      <c r="A25" s="25" t="s">
        <v>80</v>
      </c>
      <c r="B25" s="26">
        <v>-1</v>
      </c>
      <c r="C25" s="26">
        <v>3</v>
      </c>
      <c r="D25" s="26">
        <v>7</v>
      </c>
      <c r="E25" s="26">
        <v>37</v>
      </c>
      <c r="F25" s="26">
        <v>4</v>
      </c>
      <c r="G25" s="26">
        <v>2</v>
      </c>
      <c r="H25" s="26">
        <v>-11</v>
      </c>
      <c r="I25" s="26">
        <v>9</v>
      </c>
    </row>
    <row r="26" spans="1:9" x14ac:dyDescent="0.2">
      <c r="A26" s="8" t="s">
        <v>36</v>
      </c>
      <c r="B26" s="29">
        <f>B25+B23+B24</f>
        <v>14138</v>
      </c>
      <c r="C26" s="29">
        <f>C25+C23+C24</f>
        <v>6358</v>
      </c>
      <c r="D26" s="29">
        <f t="shared" ref="D26:I26" si="10">D25+D23+D24</f>
        <v>2710</v>
      </c>
      <c r="E26" s="29">
        <f t="shared" si="10"/>
        <v>5861</v>
      </c>
      <c r="F26" s="29">
        <f t="shared" si="10"/>
        <v>8687</v>
      </c>
      <c r="G26" s="27">
        <f t="shared" si="10"/>
        <v>-5833</v>
      </c>
      <c r="H26" s="27">
        <f>H25+H23+H24</f>
        <v>778</v>
      </c>
      <c r="I26" s="27">
        <f t="shared" si="10"/>
        <v>8539</v>
      </c>
    </row>
    <row r="27" spans="1:9" x14ac:dyDescent="0.2">
      <c r="A27" s="25" t="s">
        <v>37</v>
      </c>
      <c r="B27" s="26">
        <v>14135</v>
      </c>
      <c r="C27" s="26">
        <v>6313</v>
      </c>
      <c r="D27" s="26">
        <v>2687</v>
      </c>
      <c r="E27" s="26">
        <v>5861</v>
      </c>
      <c r="F27" s="26">
        <v>8687</v>
      </c>
      <c r="G27" s="26">
        <f>G26</f>
        <v>-5833</v>
      </c>
      <c r="H27" s="26">
        <f>H26</f>
        <v>778</v>
      </c>
      <c r="I27" s="26">
        <f>I26</f>
        <v>8539</v>
      </c>
    </row>
    <row r="28" spans="1:9" x14ac:dyDescent="0.2">
      <c r="A28" s="8" t="s">
        <v>38</v>
      </c>
      <c r="B28" s="27"/>
      <c r="C28" s="27"/>
      <c r="D28" s="27"/>
      <c r="E28" s="27"/>
      <c r="F28" s="27"/>
      <c r="G28" s="27"/>
      <c r="H28" s="27"/>
      <c r="I28" s="27"/>
    </row>
    <row r="29" spans="1:9" x14ac:dyDescent="0.2">
      <c r="A29" s="24" t="s">
        <v>39</v>
      </c>
      <c r="B29" s="28">
        <f t="shared" ref="B29:I29" si="11">B27/B30</f>
        <v>12.269965277777779</v>
      </c>
      <c r="C29" s="28">
        <f t="shared" si="11"/>
        <v>5.6669658886894076</v>
      </c>
      <c r="D29" s="28">
        <f t="shared" si="11"/>
        <v>2.4207207207207206</v>
      </c>
      <c r="E29" s="28">
        <f t="shared" si="11"/>
        <v>5.2330357142857142</v>
      </c>
      <c r="F29" s="28">
        <f t="shared" si="11"/>
        <v>7.8120503597122299</v>
      </c>
      <c r="G29" s="28">
        <f t="shared" si="11"/>
        <v>-5.3366880146386091</v>
      </c>
      <c r="H29" s="28">
        <f t="shared" si="11"/>
        <v>0.7040723981900453</v>
      </c>
      <c r="I29" s="28">
        <f t="shared" si="11"/>
        <v>7.6514336917562726</v>
      </c>
    </row>
    <row r="30" spans="1:9" x14ac:dyDescent="0.2">
      <c r="A30" s="10" t="s">
        <v>40</v>
      </c>
      <c r="B30" s="27">
        <v>1152</v>
      </c>
      <c r="C30" s="27">
        <v>1114</v>
      </c>
      <c r="D30" s="27">
        <v>1110</v>
      </c>
      <c r="E30" s="27">
        <v>1120</v>
      </c>
      <c r="F30" s="27">
        <v>1112</v>
      </c>
      <c r="G30" s="27">
        <v>1093</v>
      </c>
      <c r="H30" s="27">
        <v>1105</v>
      </c>
      <c r="I30" s="27">
        <v>1116</v>
      </c>
    </row>
    <row r="31" spans="1:9" x14ac:dyDescent="0.2">
      <c r="A31" s="24" t="s">
        <v>41</v>
      </c>
      <c r="B31" s="28">
        <f t="shared" ref="B31:I31" si="12">B27/B32</f>
        <v>11.501220504475183</v>
      </c>
      <c r="C31" s="28">
        <f t="shared" si="12"/>
        <v>5.5231846019247595</v>
      </c>
      <c r="D31" s="28">
        <f t="shared" si="12"/>
        <v>2.3757736516357206</v>
      </c>
      <c r="E31" s="28">
        <f t="shared" si="12"/>
        <v>5.1367221735319895</v>
      </c>
      <c r="F31" s="28">
        <f t="shared" si="12"/>
        <v>7.7424242424242422</v>
      </c>
      <c r="G31" s="28">
        <f t="shared" si="12"/>
        <v>-5.3366880146386091</v>
      </c>
      <c r="H31" s="28">
        <f t="shared" si="12"/>
        <v>0.69588550983899822</v>
      </c>
      <c r="I31" s="28">
        <f t="shared" si="12"/>
        <v>7.5902222222222226</v>
      </c>
    </row>
    <row r="32" spans="1:9" x14ac:dyDescent="0.2">
      <c r="A32" s="10" t="s">
        <v>42</v>
      </c>
      <c r="B32" s="27">
        <v>1229</v>
      </c>
      <c r="C32" s="27">
        <v>1143</v>
      </c>
      <c r="D32" s="27">
        <v>1131</v>
      </c>
      <c r="E32" s="27">
        <v>1141</v>
      </c>
      <c r="F32" s="27">
        <v>1122</v>
      </c>
      <c r="G32" s="27">
        <v>1093</v>
      </c>
      <c r="H32" s="27">
        <v>1118</v>
      </c>
      <c r="I32" s="27">
        <v>1125</v>
      </c>
    </row>
    <row r="33" spans="1:9" x14ac:dyDescent="0.2">
      <c r="A33" s="22" t="s">
        <v>43</v>
      </c>
      <c r="B33" s="26"/>
      <c r="C33" s="26"/>
      <c r="D33" s="26"/>
      <c r="E33" s="26"/>
      <c r="F33" s="26"/>
      <c r="G33" s="26"/>
      <c r="H33" s="26"/>
      <c r="I33" s="26"/>
    </row>
    <row r="34" spans="1:9" x14ac:dyDescent="0.2">
      <c r="A34" s="9" t="s">
        <v>43</v>
      </c>
      <c r="B34" s="29">
        <f>B35+B36</f>
        <v>19753</v>
      </c>
      <c r="C34" s="29">
        <f t="shared" ref="C34:I34" si="13">C35+C36</f>
        <v>12800</v>
      </c>
      <c r="D34" s="29">
        <f t="shared" si="13"/>
        <v>8653</v>
      </c>
      <c r="E34" s="29">
        <f t="shared" si="13"/>
        <v>12497</v>
      </c>
      <c r="F34" s="29">
        <f t="shared" si="13"/>
        <v>16818</v>
      </c>
      <c r="G34" s="29">
        <f t="shared" si="13"/>
        <v>2011</v>
      </c>
      <c r="H34" s="29">
        <f t="shared" si="13"/>
        <v>9084</v>
      </c>
      <c r="I34" s="29">
        <f t="shared" si="13"/>
        <v>18122</v>
      </c>
    </row>
    <row r="35" spans="1:9" x14ac:dyDescent="0.2">
      <c r="A35" s="20" t="s">
        <v>44</v>
      </c>
      <c r="B35" s="26">
        <f>B13</f>
        <v>14994</v>
      </c>
      <c r="C35" s="26">
        <f t="shared" ref="C35:I35" si="14">C13</f>
        <v>7376</v>
      </c>
      <c r="D35" s="26">
        <f t="shared" si="14"/>
        <v>3003</v>
      </c>
      <c r="E35" s="26">
        <f t="shared" si="14"/>
        <v>6283</v>
      </c>
      <c r="F35" s="26">
        <f t="shared" si="14"/>
        <v>9702</v>
      </c>
      <c r="G35" s="26">
        <f t="shared" si="14"/>
        <v>-5745</v>
      </c>
      <c r="H35" s="26">
        <f t="shared" si="14"/>
        <v>1304</v>
      </c>
      <c r="I35" s="26">
        <f t="shared" si="14"/>
        <v>9770</v>
      </c>
    </row>
    <row r="36" spans="1:9" x14ac:dyDescent="0.2">
      <c r="A36" s="10" t="s">
        <v>21</v>
      </c>
      <c r="B36" s="27">
        <f>B8</f>
        <v>4759</v>
      </c>
      <c r="C36" s="27">
        <f t="shared" ref="C36:I36" si="15">C8</f>
        <v>5424</v>
      </c>
      <c r="D36" s="27">
        <f t="shared" si="15"/>
        <v>5650</v>
      </c>
      <c r="E36" s="27">
        <f t="shared" si="15"/>
        <v>6214</v>
      </c>
      <c r="F36" s="27">
        <f t="shared" si="15"/>
        <v>7116</v>
      </c>
      <c r="G36" s="27">
        <f t="shared" si="15"/>
        <v>7756</v>
      </c>
      <c r="H36" s="27">
        <f t="shared" si="15"/>
        <v>7780</v>
      </c>
      <c r="I36" s="27">
        <f t="shared" si="15"/>
        <v>8352</v>
      </c>
    </row>
    <row r="37" spans="1:9" x14ac:dyDescent="0.2">
      <c r="A37" s="30" t="s">
        <v>45</v>
      </c>
      <c r="B37" s="21"/>
      <c r="C37" s="21"/>
      <c r="D37" s="21"/>
      <c r="E37" s="21"/>
      <c r="F37" s="21"/>
      <c r="G37" s="21"/>
      <c r="H37" s="21"/>
      <c r="I37" s="21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</vt:lpstr>
      <vt:lpstr>Executive Summary</vt:lpstr>
      <vt:lpstr>WACC</vt:lpstr>
      <vt:lpstr>Cash Flow Statement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Heim,Jonah</dc:creator>
  <cp:lastModifiedBy>Heim, Jonah</cp:lastModifiedBy>
  <dcterms:created xsi:type="dcterms:W3CDTF">2025-12-29T11:16:24Z</dcterms:created>
  <dcterms:modified xsi:type="dcterms:W3CDTF">2026-09-09T15:23:39Z</dcterms:modified>
</cp:coreProperties>
</file>